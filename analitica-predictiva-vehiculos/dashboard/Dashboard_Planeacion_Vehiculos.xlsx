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blero" sheetId="2" state="visible" r:id="rId2"/>
    <sheet name="Demanda" sheetId="3" state="visible" r:id="rId3"/>
    <sheet name="Pronostico" sheetId="4" state="visible" r:id="rId4"/>
    <sheet name="Clientes" sheetId="5" state="visible" r:id="rId5"/>
    <sheet name="Corredores" sheetId="6" state="visible" r:id="rId6"/>
    <sheet name="Flota_Placas" sheetId="7" state="visible" r:id="rId7"/>
    <sheet name="Retornos_Vacios" sheetId="8" state="visible" r:id="rId8"/>
    <sheet name="Modelo" sheetId="9" state="visible" r:id="rId9"/>
    <sheet name="Correlaciones" sheetId="10" state="visible" r:id="rId10"/>
    <sheet name="Parametr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2E75B6"/>
      <sz val="12"/>
    </font>
    <font>
      <name val="Arial"/>
      <b val="1"/>
      <color rgb="001F4E79"/>
      <sz val="20"/>
    </font>
    <font>
      <name val="Arial"/>
      <color rgb="00595959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2E75B6"/>
      <sz val="11"/>
    </font>
    <font>
      <name val="Arial"/>
      <i val="1"/>
      <color rgb="00808080"/>
      <sz val="8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392B"/>
      <sz val="12"/>
    </font>
    <font>
      <name val="Arial"/>
      <b val="1"/>
      <color rgb="00C0392B"/>
      <sz val="11"/>
    </font>
    <font>
      <name val="Arial"/>
      <b val="1"/>
      <color rgb="00C0392B"/>
      <sz val="10"/>
    </font>
    <font>
      <name val="Arial"/>
      <b val="1"/>
      <color rgb="00006100"/>
      <sz val="9"/>
    </font>
    <font>
      <name val="Arial"/>
      <b val="1"/>
      <color rgb="002E8B57"/>
      <sz val="10"/>
    </font>
    <font>
      <name val="Arial"/>
      <b val="1"/>
      <color rgb="00000000"/>
      <sz val="10"/>
    </font>
    <font>
      <name val="Arial"/>
      <b val="1"/>
      <color rgb="002E75B6"/>
      <sz val="18"/>
    </font>
    <font>
      <name val="Arial"/>
      <b val="1"/>
      <color rgb="00E07B39"/>
      <sz val="18"/>
    </font>
    <font>
      <name val="Arial"/>
      <b val="1"/>
      <color rgb="00C0392B"/>
      <sz val="18"/>
    </font>
    <font>
      <name val="Arial"/>
      <b val="1"/>
      <color rgb="002E8B57"/>
      <sz val="18"/>
    </font>
    <font>
      <name val="Arial"/>
      <b val="1"/>
      <color rgb="00E07B39"/>
      <sz val="10"/>
    </font>
  </fonts>
  <fills count="10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1F4E79"/>
      </patternFill>
    </fill>
    <fill>
      <patternFill patternType="solid">
        <fgColor rgb="00C0392B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07B39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3" fontId="20" fillId="2" borderId="1" applyAlignment="1" pivotButton="0" quotePrefix="0" xfId="0">
      <alignment horizontal="center" vertical="center" wrapText="1"/>
    </xf>
    <xf numFmtId="3" fontId="21" fillId="2" borderId="1" applyAlignment="1" pivotButton="0" quotePrefix="0" xfId="0">
      <alignment horizontal="center" vertical="center" wrapText="1"/>
    </xf>
    <xf numFmtId="164" fontId="22" fillId="2" borderId="1" applyAlignment="1" pivotButton="0" quotePrefix="0" xfId="0">
      <alignment horizontal="center" vertical="center" wrapText="1"/>
    </xf>
    <xf numFmtId="9" fontId="19" fillId="2" borderId="1" applyAlignment="1" pivotButton="0" quotePrefix="0" xfId="0">
      <alignment horizontal="center" vertical="center" wrapText="1"/>
    </xf>
    <xf numFmtId="9" fontId="21" fillId="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6" borderId="0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3" fontId="12" fillId="2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right" vertical="center"/>
    </xf>
    <xf numFmtId="0" fontId="4" fillId="0" borderId="0" pivotButton="0" quotePrefix="0" xfId="0"/>
    <xf numFmtId="3" fontId="13" fillId="0" borderId="0" pivotButton="0" quotePrefix="0" xfId="0"/>
    <xf numFmtId="164" fontId="12" fillId="0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0" fontId="15" fillId="0" borderId="0" pivotButton="0" quotePrefix="0" xfId="0"/>
    <xf numFmtId="0" fontId="17" fillId="0" borderId="0" pivotButton="0" quotePrefix="0" xfId="0"/>
    <xf numFmtId="0" fontId="16" fillId="5" borderId="1" applyAlignment="1" pivotButton="0" quotePrefix="0" xfId="0">
      <alignment horizontal="left" vertical="center" wrapText="1"/>
    </xf>
    <xf numFmtId="3" fontId="1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9" fontId="18" fillId="6" borderId="0" pivotButton="0" quotePrefix="0" xfId="0"/>
    <xf numFmtId="164" fontId="0" fillId="6" borderId="0" pivotButton="0" quotePrefix="0" xfId="0"/>
    <xf numFmtId="9" fontId="0" fillId="6" borderId="0" pivotButton="0" quotePrefix="0" xfId="0"/>
    <xf numFmtId="0" fontId="11" fillId="3" borderId="0" pivotButton="0" quotePrefix="0" xfId="0"/>
    <xf numFmtId="0" fontId="12" fillId="0" borderId="0" pivotButton="0" quotePrefix="0" xfId="0"/>
    <xf numFmtId="3" fontId="0" fillId="6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Viajes mensuales por tipo de flota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'Demanda'!B5</f>
            </strRef>
          </tx>
          <spPr>
            <a:ln>
              <a:prstDash val="solid"/>
            </a:ln>
          </spPr>
          <cat>
            <numRef>
              <f>'Demanda'!$A$6:$A$23</f>
            </numRef>
          </cat>
          <val>
            <numRef>
              <f>'Demanda'!$B$6:$B$23</f>
            </numRef>
          </val>
        </ser>
        <ser>
          <idx val="1"/>
          <order val="1"/>
          <tx>
            <strRef>
              <f>'Demanda'!C5</f>
            </strRef>
          </tx>
          <spPr>
            <a:ln>
              <a:prstDash val="solid"/>
            </a:ln>
          </spPr>
          <cat>
            <numRef>
              <f>'Demanda'!$A$6:$A$23</f>
            </numRef>
          </cat>
          <val>
            <numRef>
              <f>'Demanda'!$C$6:$C$23</f>
            </numRef>
          </val>
        </ser>
        <ser>
          <idx val="2"/>
          <order val="2"/>
          <tx>
            <strRef>
              <f>'Demanda'!D5</f>
            </strRef>
          </tx>
          <spPr>
            <a:ln>
              <a:prstDash val="solid"/>
            </a:ln>
          </spPr>
          <cat>
            <numRef>
              <f>'Demanda'!$A$6:$A$23</f>
            </numRef>
          </cat>
          <val>
            <numRef>
              <f>'Demanda'!$D$6:$D$23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Viajes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Toneladas mensuales</a:t>
            </a:r>
          </a:p>
        </rich>
      </tx>
    </title>
    <plotArea>
      <lineChart>
        <grouping val="standard"/>
        <ser>
          <idx val="0"/>
          <order val="0"/>
          <tx>
            <strRef>
              <f>'Demanda'!F5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'Demanda'!$A$6:$A$23</f>
            </numRef>
          </cat>
          <val>
            <numRef>
              <f>'Demanda'!$F$6:$F$23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Demanda promedio por día de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'Demanda'!B26</f>
            </strRef>
          </tx>
          <spPr>
            <a:ln>
              <a:prstDash val="solid"/>
            </a:ln>
          </spPr>
          <cat>
            <numRef>
              <f>'Demanda'!$A$27:$A$33</f>
            </numRef>
          </cat>
          <val>
            <numRef>
              <f>'Demanda'!$B$27:$B$33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Pronóstico diario de vehículos (30 días)</a:t>
            </a:r>
          </a:p>
        </rich>
      </tx>
    </title>
    <plotArea>
      <lineChart>
        <grouping val="standard"/>
        <ser>
          <idx val="0"/>
          <order val="0"/>
          <tx>
            <strRef>
              <f>'Pronostico'!C15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'Pronostico'!$A$16:$A$45</f>
            </numRef>
          </cat>
          <val>
            <numRef>
              <f>'Pronostico'!$C$16:$C$45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clientes por viajes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'Clientes'!B4</f>
            </strRef>
          </tx>
          <spPr>
            <a:ln>
              <a:prstDash val="solid"/>
            </a:ln>
          </spPr>
          <cat>
            <numRef>
              <f>'Clientes'!$A$5:$A$14</f>
            </numRef>
          </cat>
          <val>
            <numRef>
              <f>'Clientes'!$B$5:$B$14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corredores por viajes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'Corredores'!B5</f>
            </strRef>
          </tx>
          <spPr>
            <a:ln>
              <a:prstDash val="solid"/>
            </a:ln>
          </spPr>
          <cat>
            <numRef>
              <f>'Corredores'!$A$6:$A$17</f>
            </numRef>
          </cat>
          <val>
            <numRef>
              <f>'Corredores'!$B$6:$B$17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Participación de viajes por flota</a:t>
            </a:r>
          </a:p>
        </rich>
      </tx>
    </title>
    <plotArea>
      <pieChart>
        <varyColors val="1"/>
        <ser>
          <idx val="0"/>
          <order val="0"/>
          <tx>
            <strRef>
              <f>'Flota_Placas'!B5</f>
            </strRef>
          </tx>
          <spPr>
            <a:ln>
              <a:prstDash val="solid"/>
            </a:ln>
          </spPr>
          <cat>
            <numRef>
              <f>'Flota_Placas'!$A$6:$A$8</f>
            </numRef>
          </cat>
          <val>
            <numRef>
              <f>'Flota_Placas'!$B$6:$B$8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64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34</row>
      <rowOff>0</rowOff>
    </from>
    <ext cx="57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Pronostico" displayName="TablaPronostico" ref="A15:E45" headerRowCount="1">
  <autoFilter ref="A15:E45"/>
  <tableColumns count="5">
    <tableColumn id="1" name="fecha"/>
    <tableColumn id="2" name="dia_semana"/>
    <tableColumn id="3" name="viajes_pred"/>
    <tableColumn id="4" name="toneladas_pred"/>
    <tableColumn id="5" name="festivo"/>
  </tableColumns>
  <tableStyleInfo name="TableStyleMedium2" showRowStripes="1"/>
</table>
</file>

<file path=xl/tables/table2.xml><?xml version="1.0" encoding="utf-8"?>
<table xmlns="http://schemas.openxmlformats.org/spreadsheetml/2006/main" id="2" name="TablaClientes" displayName="TablaClientes" ref="A4:F18" headerRowCount="1">
  <autoFilter ref="A4:F18"/>
  <tableColumns count="6">
    <tableColumn id="1" name="Negocio"/>
    <tableColumn id="2" name="viajes"/>
    <tableColumn id="3" name="toneladas"/>
    <tableColumn id="4" name="ton_prom"/>
    <tableColumn id="5" name="corredores"/>
    <tableColumn id="6" name="part_viajes"/>
  </tableColumns>
  <tableStyleInfo name="TableStyleMedium2" showRowStripes="1"/>
</table>
</file>

<file path=xl/tables/table3.xml><?xml version="1.0" encoding="utf-8"?>
<table xmlns="http://schemas.openxmlformats.org/spreadsheetml/2006/main" id="3" name="TablaCorredores" displayName="TablaCorredores" ref="A5:F20" headerRowCount="1">
  <autoFilter ref="A5:F20"/>
  <tableColumns count="6">
    <tableColumn id="1" name="corredor"/>
    <tableColumn id="2" name="viajes"/>
    <tableColumn id="3" name="toneladas"/>
    <tableColumn id="4" name="ton_prom"/>
    <tableColumn id="5" name="cv_mensual_%"/>
    <tableColumn id="6" name="crecimiento_%"/>
  </tableColumns>
  <tableStyleInfo name="TableStyleMedium2" showRowStripes="1"/>
</table>
</file>

<file path=xl/tables/table4.xml><?xml version="1.0" encoding="utf-8"?>
<table xmlns="http://schemas.openxmlformats.org/spreadsheetml/2006/main" id="4" name="TablaPlacasTop" displayName="TablaPlacasTop" ref="A24:G39" headerRowCount="1">
  <autoFilter ref="A24:G39"/>
  <tableColumns count="7">
    <tableColumn id="1" name="PLACA"/>
    <tableColumn id="2" name="viajes"/>
    <tableColumn id="3" name="viajes_mes"/>
    <tableColumn id="4" name="dias_activos"/>
    <tableColumn id="5" name="flota"/>
    <tableColumn id="6" name="tipologia"/>
    <tableColumn id="7" name="estabilidad"/>
  </tableColumns>
  <tableStyleInfo name="TableStyleMedium2" showRowStripes="1"/>
</table>
</file>

<file path=xl/tables/table5.xml><?xml version="1.0" encoding="utf-8"?>
<table xmlns="http://schemas.openxmlformats.org/spreadsheetml/2006/main" id="5" name="TablaVacios" displayName="TablaVacios" ref="A10:G25" headerRowCount="1">
  <autoFilter ref="A10:G25"/>
  <tableColumns count="7">
    <tableColumn id="1" name="Ciudad Origen"/>
    <tableColumn id="2" name="Ciudad Destino"/>
    <tableColumn id="3" name="viajes"/>
    <tableColumn id="4" name="viajes_rev"/>
    <tableColumn id="5" name="excedente"/>
    <tableColumn id="6" name="dist_km"/>
    <tableColumn id="7" name="costo_retorno_vacio_e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2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3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4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20" customWidth="1" min="4" max="4"/>
  </cols>
  <sheetData>
    <row r="2">
      <c r="B2" s="1" t="inlineStr">
        <is>
          <t>DIC — OPERACIÓN LOGÍSTICA</t>
        </is>
      </c>
    </row>
    <row r="3">
      <c r="B3" s="2" t="inlineStr">
        <is>
          <t>MODELO PREDICTIVO PARA LA
PLANEACIÓN DE VEHÍCULOS</t>
        </is>
      </c>
    </row>
    <row r="4"/>
    <row r="5">
      <c r="B5" s="3" t="inlineStr">
        <is>
          <t>Herramienta de planeación con 7 días de anticipación</t>
        </is>
      </c>
    </row>
    <row r="7" ht="20" customHeight="1">
      <c r="B7" s="4" t="inlineStr">
        <is>
          <t>Base analizada</t>
        </is>
      </c>
      <c r="C7" s="5" t="inlineStr">
        <is>
          <t>131,976 viajes · 18 meses</t>
        </is>
      </c>
    </row>
    <row r="8" ht="20" customHeight="1">
      <c r="B8" s="4" t="inlineStr">
        <is>
          <t>Periodo</t>
        </is>
      </c>
      <c r="C8" s="5" t="inlineStr">
        <is>
          <t>2025-01-02 a 2026-06-30</t>
        </is>
      </c>
    </row>
    <row r="9" ht="20" customHeight="1">
      <c r="B9" s="4" t="inlineStr">
        <is>
          <t>Modelo seleccionado</t>
        </is>
      </c>
      <c r="C9" s="5" t="inlineStr">
        <is>
          <t>Regresión Múltiple (OLS)</t>
        </is>
      </c>
    </row>
    <row r="10" ht="20" customHeight="1">
      <c r="B10" s="4" t="inlineStr">
        <is>
          <t>Precisión (WAPE semanal)</t>
        </is>
      </c>
      <c r="C10" s="5" t="inlineStr">
        <is>
          <t>7.4%  (meta ≤ 10%)</t>
        </is>
      </c>
    </row>
    <row r="11" ht="20" customHeight="1">
      <c r="B11" s="4" t="inlineStr">
        <is>
          <t>Demanda media hábil</t>
        </is>
      </c>
      <c r="C11" s="5" t="inlineStr">
        <is>
          <t>299 vehículos/día</t>
        </is>
      </c>
    </row>
    <row r="12" ht="20" customHeight="1">
      <c r="B12" s="4" t="inlineStr">
        <is>
          <t>Participación terceros</t>
        </is>
      </c>
      <c r="C12" s="5" t="inlineStr">
        <is>
          <t>79.0%</t>
        </is>
      </c>
    </row>
    <row r="13" ht="20" customHeight="1">
      <c r="B13" s="4" t="inlineStr">
        <is>
          <t>Retorno vacío (rango)</t>
        </is>
      </c>
      <c r="C13" s="5" t="inlineStr">
        <is>
          <t>21.2% – 76.1%</t>
        </is>
      </c>
    </row>
    <row r="14" ht="20" customHeight="1">
      <c r="B14" s="4" t="inlineStr">
        <is>
          <t>Costo retorno vacío</t>
        </is>
      </c>
      <c r="C14" s="5" t="inlineStr">
        <is>
          <t>$42.7 mil millones COP/año (est.)</t>
        </is>
      </c>
    </row>
    <row r="16">
      <c r="B16" s="6" t="inlineStr">
        <is>
          <t>CONTENIDO</t>
        </is>
      </c>
    </row>
    <row r="17">
      <c r="B17" s="7" t="inlineStr">
        <is>
          <t>• Tablero — KPIs, alertas y gráficos</t>
        </is>
      </c>
    </row>
    <row r="18">
      <c r="B18" s="7" t="inlineStr">
        <is>
          <t>• Pronóstico — 1/3/7/15/30 días</t>
        </is>
      </c>
    </row>
    <row r="19">
      <c r="B19" s="7" t="inlineStr">
        <is>
          <t>• Demanda — series diaria y mensual</t>
        </is>
      </c>
    </row>
    <row r="20">
      <c r="B20" s="7" t="inlineStr">
        <is>
          <t>• Clientes — rankings</t>
        </is>
      </c>
    </row>
    <row r="21">
      <c r="B21" s="7" t="inlineStr">
        <is>
          <t>• Corredores — demanda y criticidad</t>
        </is>
      </c>
    </row>
    <row r="22">
      <c r="B22" s="7" t="inlineStr">
        <is>
          <t>• Flota y Placas — utilización</t>
        </is>
      </c>
    </row>
    <row r="23">
      <c r="B23" s="7" t="inlineStr">
        <is>
          <t>• Retornos Vacíos — desbalance y costo</t>
        </is>
      </c>
    </row>
    <row r="24">
      <c r="B24" s="7" t="inlineStr">
        <is>
          <t>• Modelo — comparación y coeficientes</t>
        </is>
      </c>
    </row>
    <row r="25">
      <c r="B25" s="7" t="inlineStr">
        <is>
          <t>• Correlaciones</t>
        </is>
      </c>
    </row>
    <row r="26">
      <c r="B26" s="7" t="inlineStr">
        <is>
          <t>• Parámetros — variables editables</t>
        </is>
      </c>
    </row>
    <row r="28">
      <c r="B28" s="8" t="inlineStr">
        <is>
          <t>Generado por el pipeline analítico. Cifras de costo/retorno vacío son estimaciones (ver Parámetros y hoja Retornos Vacíos).</t>
        </is>
      </c>
    </row>
  </sheetData>
  <mergeCells count="11">
    <mergeCell ref="C12:D12"/>
    <mergeCell ref="B5:D5"/>
    <mergeCell ref="C7:D7"/>
    <mergeCell ref="C10:D10"/>
    <mergeCell ref="C11:D11"/>
    <mergeCell ref="B2:D2"/>
    <mergeCell ref="C9:D9"/>
    <mergeCell ref="C14:D14"/>
    <mergeCell ref="C13:D13"/>
    <mergeCell ref="B3:D4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9" t="inlineStr">
        <is>
          <t>TABLERO DE PLANEACIÓN DE VEHÍCULOS — DIC</t>
        </is>
      </c>
    </row>
    <row r="2" ht="18" customHeight="1">
      <c r="A2" s="10" t="inlineStr">
        <is>
          <t>Estado de la demanda, flota y pronóstico · alertas de capacidad</t>
        </is>
      </c>
    </row>
    <row r="4">
      <c r="A4" s="11" t="inlineStr">
        <is>
          <t>DEMANDA MEDIA (hábil)</t>
        </is>
      </c>
      <c r="B4" s="12" t="n"/>
      <c r="C4" s="13" t="inlineStr">
        <is>
          <t>PRONÓSTICO 7 DÍAS (veh.)</t>
        </is>
      </c>
      <c r="D4" s="12" t="n"/>
      <c r="E4" s="14" t="inlineStr">
        <is>
          <t>RESERVA SUGERIDA 7D</t>
        </is>
      </c>
      <c r="F4" s="12" t="n"/>
      <c r="G4" s="15" t="inlineStr">
        <is>
          <t>PRECISIÓN (WAPE sem.)</t>
        </is>
      </c>
      <c r="H4" s="12" t="n"/>
      <c r="I4" s="11" t="inlineStr">
        <is>
          <t>% TERCEROS</t>
        </is>
      </c>
      <c r="J4" s="12" t="n"/>
      <c r="K4" s="14" t="inlineStr">
        <is>
          <t>% RETORNO VACÍO (zonal)</t>
        </is>
      </c>
      <c r="L4" s="12" t="n"/>
    </row>
    <row r="5">
      <c r="A5" s="16" t="n">
        <v>299</v>
      </c>
      <c r="B5" s="12" t="n"/>
      <c r="C5" s="17" t="n">
        <v>1831</v>
      </c>
      <c r="D5" s="12" t="n"/>
      <c r="E5" s="18" t="n">
        <v>2004</v>
      </c>
      <c r="F5" s="12" t="n"/>
      <c r="G5" s="19" t="n">
        <v>0.07400000000000001</v>
      </c>
      <c r="H5" s="12" t="n"/>
      <c r="I5" s="20" t="n">
        <v>0.79</v>
      </c>
      <c r="J5" s="12" t="n"/>
      <c r="K5" s="21" t="n">
        <v>0.212</v>
      </c>
      <c r="L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8">
      <c r="A8" s="22" t="inlineStr">
        <is>
          <t>ALERTAS</t>
        </is>
      </c>
    </row>
    <row r="9">
      <c r="A9" s="23" t="inlineStr">
        <is>
          <t>⚠ Reservar 2,004 vehículos la próxima semana (demanda 1,831 + colchón).</t>
        </is>
      </c>
    </row>
    <row r="10">
      <c r="A10" s="24" t="inlineStr">
        <is>
          <t>⚠ Flota propia+afiliada cubre solo ~21% — contratar terceros con anticipación.</t>
        </is>
      </c>
    </row>
    <row r="11">
      <c r="A11" s="24" t="inlineStr">
        <is>
          <t>⚠ Retorno vacío 21.2–76.1% de los viajes: activar backhaul en rutas de riesgo.</t>
        </is>
      </c>
    </row>
    <row r="13">
      <c r="A13" s="25" t="inlineStr">
        <is>
          <t>RECOMENDACIONES CLAVE</t>
        </is>
      </c>
    </row>
    <row r="14" ht="26" customHeight="1">
      <c r="A14" s="26" t="inlineStr">
        <is>
          <t>1. Reservar ~2,004 vehículos para la próxima semana (demanda esperada 1,831 + colchón 9% para 90% de nivel de servicio).</t>
        </is>
      </c>
    </row>
    <row r="15" ht="26" customHeight="1">
      <c r="A15" s="26" t="inlineStr">
        <is>
          <t>2. Usar la flota propia+afiliada al máximo: capacidad reciente ~340 viajes/sem (19% de la demanda); contratar terceros para el resto (~1,491 viajes).</t>
        </is>
      </c>
    </row>
    <row r="16" ht="26" customHeight="1">
      <c r="A16" s="26" t="inlineStr">
        <is>
          <t>3. Anticipar capacidad en corredores críticos (alta demanda + variabilidad): LA ESTRELLA -&gt; CALDAS; MADRID -&gt; BOGOTA D.C.; CARTAGENA -&gt; CARTAGENA; IBAGUE -&gt; CARTAGENA; SABANETA -&gt; MEDELLIN.</t>
        </is>
      </c>
    </row>
    <row r="17" ht="26" customHeight="1">
      <c r="A17" s="26" t="inlineStr">
        <is>
          <t>4. Buscar carga de compensación (backhaul) en las rutas con mayor retorno vacío: MADRID→BOGOTA D.C.; SOPO→BOGOTA D.C.; SABANETA→MEDELLIN; SOACHA→BOGOTA D.C.; YUMBO→CALI.</t>
        </is>
      </c>
    </row>
    <row r="18" ht="26" customHeight="1">
      <c r="A18" s="26" t="inlineStr">
        <is>
          <t>5. Exigir programación con 7 días de anticipación a los clientes de mayor volumen (REVESTIMIENTO, PORCELANA SANITARIA, SUMICOL), que concentran 68% de la demanda.</t>
        </is>
      </c>
    </row>
    <row r="19" ht="26" customHeight="1">
      <c r="A19" s="26" t="inlineStr">
        <is>
          <t>6. Alertar por capacidad cuando la demanda semanal pronosticada supere en &gt;10% la capacidad comprometida de flota propia+terceros habituales.</t>
        </is>
      </c>
    </row>
  </sheetData>
  <mergeCells count="23">
    <mergeCell ref="A16:L16"/>
    <mergeCell ref="A5:B6"/>
    <mergeCell ref="G5:H6"/>
    <mergeCell ref="I5:J6"/>
    <mergeCell ref="A18:L18"/>
    <mergeCell ref="C4:D4"/>
    <mergeCell ref="A2:L2"/>
    <mergeCell ref="E4:F4"/>
    <mergeCell ref="A14:L14"/>
    <mergeCell ref="A17:L17"/>
    <mergeCell ref="A10:L10"/>
    <mergeCell ref="A19:L19"/>
    <mergeCell ref="C5:D6"/>
    <mergeCell ref="E5:F6"/>
    <mergeCell ref="K5:L6"/>
    <mergeCell ref="A9:L9"/>
    <mergeCell ref="A4:B4"/>
    <mergeCell ref="G4:H4"/>
    <mergeCell ref="I4:J4"/>
    <mergeCell ref="A15:L15"/>
    <mergeCell ref="A11:L11"/>
    <mergeCell ref="A1:L1"/>
    <mergeCell ref="K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DEMANDA — Series base</t>
        </is>
      </c>
    </row>
    <row r="2" ht="18" customHeight="1">
      <c r="A2" s="10" t="inlineStr">
        <is>
          <t>Serie diaria (últimos 120 días) y serie mensual con split de flota</t>
        </is>
      </c>
    </row>
    <row r="4">
      <c r="A4" s="25" t="inlineStr">
        <is>
          <t>SERIE MENSUAL (viajes por flota)</t>
        </is>
      </c>
    </row>
    <row r="5">
      <c r="A5" s="27" t="inlineStr">
        <is>
          <t>Mes - Año</t>
        </is>
      </c>
      <c r="B5" s="27" t="inlineStr">
        <is>
          <t>Flota Propia</t>
        </is>
      </c>
      <c r="C5" s="27" t="inlineStr">
        <is>
          <t>Empresas</t>
        </is>
      </c>
      <c r="D5" s="27" t="inlineStr">
        <is>
          <t>Terceros</t>
        </is>
      </c>
      <c r="E5" s="27" t="inlineStr">
        <is>
          <t>Total</t>
        </is>
      </c>
      <c r="F5" s="27" t="inlineStr">
        <is>
          <t>Toneladas</t>
        </is>
      </c>
    </row>
    <row r="6">
      <c r="A6" s="28" t="inlineStr">
        <is>
          <t>2025-01</t>
        </is>
      </c>
      <c r="B6" s="29" t="n">
        <v>666</v>
      </c>
      <c r="C6" s="29" t="n">
        <v>991</v>
      </c>
      <c r="D6" s="29" t="n">
        <v>5102</v>
      </c>
      <c r="E6" s="29" t="n">
        <v>6759</v>
      </c>
      <c r="F6" s="29" t="n">
        <v>99381</v>
      </c>
    </row>
    <row r="7">
      <c r="A7" s="30" t="inlineStr">
        <is>
          <t>2025-02</t>
        </is>
      </c>
      <c r="B7" s="31" t="n">
        <v>627</v>
      </c>
      <c r="C7" s="31" t="n">
        <v>1086</v>
      </c>
      <c r="D7" s="31" t="n">
        <v>5161</v>
      </c>
      <c r="E7" s="31" t="n">
        <v>6874</v>
      </c>
      <c r="F7" s="31" t="n">
        <v>100984</v>
      </c>
    </row>
    <row r="8">
      <c r="A8" s="28" t="inlineStr">
        <is>
          <t>2025-03</t>
        </is>
      </c>
      <c r="B8" s="29" t="n">
        <v>622</v>
      </c>
      <c r="C8" s="29" t="n">
        <v>1099</v>
      </c>
      <c r="D8" s="29" t="n">
        <v>5304</v>
      </c>
      <c r="E8" s="29" t="n">
        <v>7025</v>
      </c>
      <c r="F8" s="29" t="n">
        <v>102505</v>
      </c>
    </row>
    <row r="9">
      <c r="A9" s="30" t="inlineStr">
        <is>
          <t>2025-04</t>
        </is>
      </c>
      <c r="B9" s="31" t="n">
        <v>655</v>
      </c>
      <c r="C9" s="31" t="n">
        <v>996</v>
      </c>
      <c r="D9" s="31" t="n">
        <v>5084</v>
      </c>
      <c r="E9" s="31" t="n">
        <v>6735</v>
      </c>
      <c r="F9" s="31" t="n">
        <v>100842</v>
      </c>
    </row>
    <row r="10">
      <c r="A10" s="28" t="inlineStr">
        <is>
          <t>2025-05</t>
        </is>
      </c>
      <c r="B10" s="29" t="n">
        <v>745</v>
      </c>
      <c r="C10" s="29" t="n">
        <v>976</v>
      </c>
      <c r="D10" s="29" t="n">
        <v>5800</v>
      </c>
      <c r="E10" s="29" t="n">
        <v>7521</v>
      </c>
      <c r="F10" s="29" t="n">
        <v>112844</v>
      </c>
    </row>
    <row r="11">
      <c r="A11" s="30" t="inlineStr">
        <is>
          <t>2025-06</t>
        </is>
      </c>
      <c r="B11" s="31" t="n">
        <v>573</v>
      </c>
      <c r="C11" s="31" t="n">
        <v>831</v>
      </c>
      <c r="D11" s="31" t="n">
        <v>4900</v>
      </c>
      <c r="E11" s="31" t="n">
        <v>6304</v>
      </c>
      <c r="F11" s="31" t="n">
        <v>90704</v>
      </c>
    </row>
    <row r="12">
      <c r="A12" s="28" t="inlineStr">
        <is>
          <t>2025-07</t>
        </is>
      </c>
      <c r="B12" s="29" t="n">
        <v>670</v>
      </c>
      <c r="C12" s="29" t="n">
        <v>1023</v>
      </c>
      <c r="D12" s="29" t="n">
        <v>6139</v>
      </c>
      <c r="E12" s="29" t="n">
        <v>7832</v>
      </c>
      <c r="F12" s="29" t="n">
        <v>117218</v>
      </c>
    </row>
    <row r="13">
      <c r="A13" s="30" t="inlineStr">
        <is>
          <t>2025-08</t>
        </is>
      </c>
      <c r="B13" s="31" t="n">
        <v>698</v>
      </c>
      <c r="C13" s="31" t="n">
        <v>1080</v>
      </c>
      <c r="D13" s="31" t="n">
        <v>5763</v>
      </c>
      <c r="E13" s="31" t="n">
        <v>7541</v>
      </c>
      <c r="F13" s="31" t="n">
        <v>111867</v>
      </c>
    </row>
    <row r="14">
      <c r="A14" s="28" t="inlineStr">
        <is>
          <t>2025-09</t>
        </is>
      </c>
      <c r="B14" s="29" t="n">
        <v>742</v>
      </c>
      <c r="C14" s="29" t="n">
        <v>1114</v>
      </c>
      <c r="D14" s="29" t="n">
        <v>6445</v>
      </c>
      <c r="E14" s="29" t="n">
        <v>8301</v>
      </c>
      <c r="F14" s="29" t="n">
        <v>121155</v>
      </c>
    </row>
    <row r="15">
      <c r="A15" s="30" t="inlineStr">
        <is>
          <t>2025-10</t>
        </is>
      </c>
      <c r="B15" s="31" t="n">
        <v>721</v>
      </c>
      <c r="C15" s="31" t="n">
        <v>1091</v>
      </c>
      <c r="D15" s="31" t="n">
        <v>6510</v>
      </c>
      <c r="E15" s="31" t="n">
        <v>8322</v>
      </c>
      <c r="F15" s="31" t="n">
        <v>123240</v>
      </c>
    </row>
    <row r="16">
      <c r="A16" s="28" t="inlineStr">
        <is>
          <t>2025-11</t>
        </is>
      </c>
      <c r="B16" s="29" t="n">
        <v>693</v>
      </c>
      <c r="C16" s="29" t="n">
        <v>696</v>
      </c>
      <c r="D16" s="29" t="n">
        <v>6428</v>
      </c>
      <c r="E16" s="29" t="n">
        <v>7817</v>
      </c>
      <c r="F16" s="29" t="n">
        <v>118443</v>
      </c>
    </row>
    <row r="17">
      <c r="A17" s="30" t="inlineStr">
        <is>
          <t>2025-12</t>
        </is>
      </c>
      <c r="B17" s="31" t="n">
        <v>635</v>
      </c>
      <c r="C17" s="31" t="n">
        <v>599</v>
      </c>
      <c r="D17" s="31" t="n">
        <v>5595</v>
      </c>
      <c r="E17" s="31" t="n">
        <v>6829</v>
      </c>
      <c r="F17" s="31" t="n">
        <v>100579</v>
      </c>
    </row>
    <row r="18">
      <c r="A18" s="28" t="inlineStr">
        <is>
          <t>2026-01</t>
        </is>
      </c>
      <c r="B18" s="29" t="n">
        <v>623</v>
      </c>
      <c r="C18" s="29" t="n">
        <v>662</v>
      </c>
      <c r="D18" s="29" t="n">
        <v>5800</v>
      </c>
      <c r="E18" s="29" t="n">
        <v>7085</v>
      </c>
      <c r="F18" s="29" t="n">
        <v>103663</v>
      </c>
    </row>
    <row r="19">
      <c r="A19" s="30" t="inlineStr">
        <is>
          <t>2026-02</t>
        </is>
      </c>
      <c r="B19" s="31" t="n">
        <v>643</v>
      </c>
      <c r="C19" s="31" t="n">
        <v>709</v>
      </c>
      <c r="D19" s="31" t="n">
        <v>5868</v>
      </c>
      <c r="E19" s="31" t="n">
        <v>7220</v>
      </c>
      <c r="F19" s="31" t="n">
        <v>104867</v>
      </c>
    </row>
    <row r="20">
      <c r="A20" s="28" t="inlineStr">
        <is>
          <t>2026-03</t>
        </is>
      </c>
      <c r="B20" s="29" t="n">
        <v>649</v>
      </c>
      <c r="C20" s="29" t="n">
        <v>766</v>
      </c>
      <c r="D20" s="29" t="n">
        <v>6604</v>
      </c>
      <c r="E20" s="29" t="n">
        <v>8019</v>
      </c>
      <c r="F20" s="29" t="n">
        <v>113582</v>
      </c>
    </row>
    <row r="21">
      <c r="A21" s="30" t="inlineStr">
        <is>
          <t>2026-04</t>
        </is>
      </c>
      <c r="B21" s="31" t="n">
        <v>630</v>
      </c>
      <c r="C21" s="31" t="n">
        <v>654</v>
      </c>
      <c r="D21" s="31" t="n">
        <v>6092</v>
      </c>
      <c r="E21" s="31" t="n">
        <v>7376</v>
      </c>
      <c r="F21" s="31" t="n">
        <v>106571</v>
      </c>
    </row>
    <row r="22">
      <c r="A22" s="28" t="inlineStr">
        <is>
          <t>2026-05</t>
        </is>
      </c>
      <c r="B22" s="29" t="n">
        <v>557</v>
      </c>
      <c r="C22" s="29" t="n">
        <v>906</v>
      </c>
      <c r="D22" s="29" t="n">
        <v>5991</v>
      </c>
      <c r="E22" s="29" t="n">
        <v>7454</v>
      </c>
      <c r="F22" s="29" t="n">
        <v>107396</v>
      </c>
    </row>
    <row r="23">
      <c r="A23" s="30" t="inlineStr">
        <is>
          <t>2026-06</t>
        </is>
      </c>
      <c r="B23" s="31" t="n">
        <v>460</v>
      </c>
      <c r="C23" s="31" t="n">
        <v>845</v>
      </c>
      <c r="D23" s="31" t="n">
        <v>5657</v>
      </c>
      <c r="E23" s="31" t="n">
        <v>6962</v>
      </c>
      <c r="F23" s="31" t="n">
        <v>100742</v>
      </c>
    </row>
    <row r="25">
      <c r="A25" s="25" t="inlineStr">
        <is>
          <t>PERFIL POR DÍA DE LA SEMANA</t>
        </is>
      </c>
    </row>
    <row r="26">
      <c r="A26" s="27" t="inlineStr">
        <is>
          <t>dia_semana</t>
        </is>
      </c>
      <c r="B26" s="27" t="inlineStr">
        <is>
          <t>mean</t>
        </is>
      </c>
      <c r="C26" s="27" t="inlineStr">
        <is>
          <t>std</t>
        </is>
      </c>
      <c r="D26" s="27" t="inlineStr">
        <is>
          <t>indice_vs_prom</t>
        </is>
      </c>
    </row>
    <row r="27">
      <c r="A27" s="30" t="inlineStr">
        <is>
          <t>Lunes</t>
        </is>
      </c>
      <c r="B27" s="31" t="n">
        <v>234.3</v>
      </c>
      <c r="C27" s="31" t="n">
        <v>117.5</v>
      </c>
      <c r="D27" s="30" t="n">
        <v>0.968</v>
      </c>
    </row>
    <row r="28">
      <c r="A28" s="28" t="inlineStr">
        <is>
          <t>Martes</t>
        </is>
      </c>
      <c r="B28" s="29" t="n">
        <v>316.5</v>
      </c>
      <c r="C28" s="29" t="n">
        <v>57.4</v>
      </c>
      <c r="D28" s="28" t="n">
        <v>1.307</v>
      </c>
    </row>
    <row r="29">
      <c r="A29" s="30" t="inlineStr">
        <is>
          <t>Miércoles</t>
        </is>
      </c>
      <c r="B29" s="31" t="n">
        <v>308.4</v>
      </c>
      <c r="C29" s="31" t="n">
        <v>65.59999999999999</v>
      </c>
      <c r="D29" s="30" t="n">
        <v>1.274</v>
      </c>
    </row>
    <row r="30">
      <c r="A30" s="28" t="inlineStr">
        <is>
          <t>Jueves</t>
        </is>
      </c>
      <c r="B30" s="29" t="n">
        <v>278</v>
      </c>
      <c r="C30" s="29" t="n">
        <v>91.5</v>
      </c>
      <c r="D30" s="28" t="n">
        <v>1.148</v>
      </c>
    </row>
    <row r="31">
      <c r="A31" s="30" t="inlineStr">
        <is>
          <t>Viernes</t>
        </is>
      </c>
      <c r="B31" s="31" t="n">
        <v>270</v>
      </c>
      <c r="C31" s="31" t="n">
        <v>83.2</v>
      </c>
      <c r="D31" s="30" t="n">
        <v>1.115</v>
      </c>
    </row>
    <row r="32">
      <c r="A32" s="28" t="inlineStr">
        <is>
          <t>Sábado</t>
        </is>
      </c>
      <c r="B32" s="29" t="n">
        <v>249.3</v>
      </c>
      <c r="C32" s="29" t="n">
        <v>48.2</v>
      </c>
      <c r="D32" s="28" t="n">
        <v>1.029</v>
      </c>
    </row>
    <row r="33">
      <c r="A33" s="30" t="inlineStr">
        <is>
          <t>Domingo</t>
        </is>
      </c>
      <c r="B33" s="31" t="n">
        <v>39.5</v>
      </c>
      <c r="C33" s="31" t="n">
        <v>31.7</v>
      </c>
      <c r="D33" s="30" t="n">
        <v>0.163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8" customWidth="1" min="5" max="5"/>
    <col width="26" customWidth="1" min="8" max="8"/>
  </cols>
  <sheetData>
    <row r="1" ht="30" customHeight="1">
      <c r="A1" s="9" t="inlineStr">
        <is>
          <t>PRONÓSTICO DE DEMANDA</t>
        </is>
      </c>
    </row>
    <row r="2" ht="18" customHeight="1">
      <c r="A2" s="10" t="inlineStr">
        <is>
          <t>Horizontes 1/3/7/15/30 días · vehículos, toneladas y desglose de flota/tipología</t>
        </is>
      </c>
    </row>
    <row r="4">
      <c r="A4" s="25" t="inlineStr">
        <is>
          <t>RESUMEN POR HORIZONTE</t>
        </is>
      </c>
    </row>
    <row r="5">
      <c r="A5" s="27" t="inlineStr">
        <is>
          <t>horizonte</t>
        </is>
      </c>
      <c r="B5" s="27" t="inlineStr">
        <is>
          <t>dias</t>
        </is>
      </c>
      <c r="C5" s="27" t="inlineStr">
        <is>
          <t>vehiculos_totales</t>
        </is>
      </c>
      <c r="D5" s="27" t="inlineStr">
        <is>
          <t>toneladas</t>
        </is>
      </c>
      <c r="E5" s="27" t="inlineStr">
        <is>
          <t>veh_dia_prom</t>
        </is>
      </c>
      <c r="F5" s="27" t="inlineStr">
        <is>
          <t>veh_propia</t>
        </is>
      </c>
      <c r="G5" s="27" t="inlineStr">
        <is>
          <t>veh_empresas</t>
        </is>
      </c>
      <c r="H5" s="27" t="inlineStr">
        <is>
          <t>veh_terceros</t>
        </is>
      </c>
      <c r="I5" s="27" t="inlineStr">
        <is>
          <t>veh_tractomula</t>
        </is>
      </c>
      <c r="J5" s="27" t="inlineStr">
        <is>
          <t>veh_sencillo</t>
        </is>
      </c>
      <c r="K5" s="27" t="inlineStr">
        <is>
          <t>veh_turbo</t>
        </is>
      </c>
      <c r="L5" s="27" t="inlineStr">
        <is>
          <t>veh_dobletroque</t>
        </is>
      </c>
    </row>
    <row r="6">
      <c r="A6" s="28" t="inlineStr">
        <is>
          <t>1 día</t>
        </is>
      </c>
      <c r="B6" s="29" t="n">
        <v>1</v>
      </c>
      <c r="C6" s="29" t="n">
        <v>298</v>
      </c>
      <c r="D6" s="29" t="n">
        <v>4296</v>
      </c>
      <c r="E6" s="29" t="n">
        <v>298</v>
      </c>
      <c r="F6" s="29" t="n">
        <v>20</v>
      </c>
      <c r="G6" s="29" t="n">
        <v>36</v>
      </c>
      <c r="H6" s="29" t="n">
        <v>240</v>
      </c>
      <c r="I6" s="29" t="n">
        <v>103</v>
      </c>
      <c r="J6" s="29" t="n">
        <v>87</v>
      </c>
      <c r="K6" s="29" t="n">
        <v>59</v>
      </c>
      <c r="L6" s="29" t="n">
        <v>37</v>
      </c>
    </row>
    <row r="7">
      <c r="A7" s="30" t="inlineStr">
        <is>
          <t>3 días</t>
        </is>
      </c>
      <c r="B7" s="31" t="n">
        <v>3</v>
      </c>
      <c r="C7" s="31" t="n">
        <v>859</v>
      </c>
      <c r="D7" s="31" t="n">
        <v>12384</v>
      </c>
      <c r="E7" s="31" t="n">
        <v>286.3</v>
      </c>
      <c r="F7" s="31" t="n">
        <v>59</v>
      </c>
      <c r="G7" s="31" t="n">
        <v>104</v>
      </c>
      <c r="H7" s="31" t="n">
        <v>694</v>
      </c>
      <c r="I7" s="31" t="n">
        <v>297</v>
      </c>
      <c r="J7" s="31" t="n">
        <v>252</v>
      </c>
      <c r="K7" s="31" t="n">
        <v>171</v>
      </c>
      <c r="L7" s="31" t="n">
        <v>109</v>
      </c>
    </row>
    <row r="8">
      <c r="A8" s="28" t="inlineStr">
        <is>
          <t>7 días</t>
        </is>
      </c>
      <c r="B8" s="29" t="n">
        <v>7</v>
      </c>
      <c r="C8" s="29" t="n">
        <v>1831</v>
      </c>
      <c r="D8" s="29" t="n">
        <v>26398</v>
      </c>
      <c r="E8" s="29" t="n">
        <v>261.6</v>
      </c>
      <c r="F8" s="29" t="n">
        <v>126</v>
      </c>
      <c r="G8" s="29" t="n">
        <v>223</v>
      </c>
      <c r="H8" s="29" t="n">
        <v>1480</v>
      </c>
      <c r="I8" s="29" t="n">
        <v>633</v>
      </c>
      <c r="J8" s="29" t="n">
        <v>537</v>
      </c>
      <c r="K8" s="29" t="n">
        <v>365</v>
      </c>
      <c r="L8" s="29" t="n">
        <v>232</v>
      </c>
    </row>
    <row r="9">
      <c r="A9" s="30" t="inlineStr">
        <is>
          <t>15 días</t>
        </is>
      </c>
      <c r="B9" s="31" t="n">
        <v>15</v>
      </c>
      <c r="C9" s="31" t="n">
        <v>3775</v>
      </c>
      <c r="D9" s="31" t="n">
        <v>54424</v>
      </c>
      <c r="E9" s="31" t="n">
        <v>251.7</v>
      </c>
      <c r="F9" s="31" t="n">
        <v>261</v>
      </c>
      <c r="G9" s="31" t="n">
        <v>460</v>
      </c>
      <c r="H9" s="31" t="n">
        <v>3052</v>
      </c>
      <c r="I9" s="31" t="n">
        <v>1305</v>
      </c>
      <c r="J9" s="31" t="n">
        <v>1107</v>
      </c>
      <c r="K9" s="31" t="n">
        <v>752</v>
      </c>
      <c r="L9" s="31" t="n">
        <v>479</v>
      </c>
    </row>
    <row r="10">
      <c r="A10" s="28" t="inlineStr">
        <is>
          <t>30 días</t>
        </is>
      </c>
      <c r="B10" s="29" t="n">
        <v>30</v>
      </c>
      <c r="C10" s="29" t="n">
        <v>7777</v>
      </c>
      <c r="D10" s="29" t="n">
        <v>112121</v>
      </c>
      <c r="E10" s="29" t="n">
        <v>259.2</v>
      </c>
      <c r="F10" s="29" t="n">
        <v>538</v>
      </c>
      <c r="G10" s="29" t="n">
        <v>949</v>
      </c>
      <c r="H10" s="29" t="n">
        <v>6288</v>
      </c>
      <c r="I10" s="29" t="n">
        <v>2690</v>
      </c>
      <c r="J10" s="29" t="n">
        <v>2281</v>
      </c>
      <c r="K10" s="29" t="n">
        <v>1550</v>
      </c>
      <c r="L10" s="29" t="n">
        <v>988</v>
      </c>
    </row>
    <row r="12">
      <c r="A12" s="32" t="inlineStr">
        <is>
          <t>Reserva sugerida próxima semana (demanda + colchón nivel servicio 90%):</t>
        </is>
      </c>
      <c r="F12" s="33">
        <f>ROUND(C8*(1+Parametros!$B$5),0)</f>
        <v/>
      </c>
    </row>
    <row r="14">
      <c r="A14" s="25" t="inlineStr">
        <is>
          <t>PRONÓSTICO DIARIO (30 días)</t>
        </is>
      </c>
      <c r="H14" s="32" t="inlineStr">
        <is>
          <t>TOP CORREDORES (7d)</t>
        </is>
      </c>
    </row>
    <row r="15">
      <c r="A15" s="27" t="inlineStr">
        <is>
          <t>fecha</t>
        </is>
      </c>
      <c r="B15" s="27" t="inlineStr">
        <is>
          <t>dia_semana</t>
        </is>
      </c>
      <c r="C15" s="27" t="inlineStr">
        <is>
          <t>viajes_pred</t>
        </is>
      </c>
      <c r="D15" s="27" t="inlineStr">
        <is>
          <t>toneladas_pred</t>
        </is>
      </c>
      <c r="E15" s="27" t="inlineStr">
        <is>
          <t>festivo</t>
        </is>
      </c>
      <c r="H15" s="27" t="inlineStr">
        <is>
          <t>corredor</t>
        </is>
      </c>
      <c r="I15" s="27" t="inlineStr">
        <is>
          <t>veh_7d</t>
        </is>
      </c>
    </row>
    <row r="16">
      <c r="A16" s="28" t="inlineStr">
        <is>
          <t>2026-07-01</t>
        </is>
      </c>
      <c r="B16" s="28" t="inlineStr">
        <is>
          <t>Miércoles</t>
        </is>
      </c>
      <c r="C16" s="29" t="n">
        <v>298</v>
      </c>
      <c r="D16" s="29" t="n">
        <v>4296</v>
      </c>
      <c r="E16" s="28" t="n">
        <v>0</v>
      </c>
      <c r="H16" s="28" t="inlineStr">
        <is>
          <t>MADRID -&gt; BOGOTA D.C.</t>
        </is>
      </c>
      <c r="I16" s="29" t="n">
        <v>88</v>
      </c>
    </row>
    <row r="17">
      <c r="A17" s="30" t="inlineStr">
        <is>
          <t>2026-07-02</t>
        </is>
      </c>
      <c r="B17" s="30" t="inlineStr">
        <is>
          <t>Jueves</t>
        </is>
      </c>
      <c r="C17" s="31" t="n">
        <v>290</v>
      </c>
      <c r="D17" s="31" t="n">
        <v>4181</v>
      </c>
      <c r="E17" s="30" t="n">
        <v>0</v>
      </c>
      <c r="H17" s="30" t="inlineStr">
        <is>
          <t>CARTAGENA -&gt; CARTAGENA</t>
        </is>
      </c>
      <c r="I17" s="31" t="n">
        <v>86</v>
      </c>
    </row>
    <row r="18">
      <c r="A18" s="28" t="inlineStr">
        <is>
          <t>2026-07-03</t>
        </is>
      </c>
      <c r="B18" s="28" t="inlineStr">
        <is>
          <t>Viernes</t>
        </is>
      </c>
      <c r="C18" s="29" t="n">
        <v>271</v>
      </c>
      <c r="D18" s="29" t="n">
        <v>3907</v>
      </c>
      <c r="E18" s="28" t="n">
        <v>0</v>
      </c>
      <c r="H18" s="28" t="inlineStr">
        <is>
          <t>SABANETA -&gt; MEDELLIN</t>
        </is>
      </c>
      <c r="I18" s="29" t="n">
        <v>82</v>
      </c>
    </row>
    <row r="19">
      <c r="A19" s="30" t="inlineStr">
        <is>
          <t>2026-07-04</t>
        </is>
      </c>
      <c r="B19" s="30" t="inlineStr">
        <is>
          <t>Sábado</t>
        </is>
      </c>
      <c r="C19" s="31" t="n">
        <v>268</v>
      </c>
      <c r="D19" s="31" t="n">
        <v>3864</v>
      </c>
      <c r="E19" s="30" t="n">
        <v>0</v>
      </c>
      <c r="H19" s="30" t="inlineStr">
        <is>
          <t>SOACHA -&gt; BOGOTA D.C.</t>
        </is>
      </c>
      <c r="I19" s="31" t="n">
        <v>60</v>
      </c>
    </row>
    <row r="20">
      <c r="A20" s="28" t="inlineStr">
        <is>
          <t>2026-07-05</t>
        </is>
      </c>
      <c r="B20" s="28" t="inlineStr">
        <is>
          <t>Domingo</t>
        </is>
      </c>
      <c r="C20" s="29" t="n">
        <v>67</v>
      </c>
      <c r="D20" s="29" t="n">
        <v>966</v>
      </c>
      <c r="E20" s="28" t="n">
        <v>0</v>
      </c>
      <c r="H20" s="28" t="inlineStr">
        <is>
          <t>YUMBO -&gt; CALI</t>
        </is>
      </c>
      <c r="I20" s="29" t="n">
        <v>56</v>
      </c>
    </row>
    <row r="21">
      <c r="A21" s="30" t="inlineStr">
        <is>
          <t>2026-07-06</t>
        </is>
      </c>
      <c r="B21" s="30" t="inlineStr">
        <is>
          <t>Lunes</t>
        </is>
      </c>
      <c r="C21" s="31" t="n">
        <v>294</v>
      </c>
      <c r="D21" s="31" t="n">
        <v>4239</v>
      </c>
      <c r="E21" s="30" t="n">
        <v>0</v>
      </c>
      <c r="H21" s="30" t="inlineStr">
        <is>
          <t>SOPO -&gt; BOGOTA D.C.</t>
        </is>
      </c>
      <c r="I21" s="31" t="n">
        <v>55</v>
      </c>
    </row>
    <row r="22">
      <c r="A22" s="28" t="inlineStr">
        <is>
          <t>2026-07-07</t>
        </is>
      </c>
      <c r="B22" s="28" t="inlineStr">
        <is>
          <t>Martes</t>
        </is>
      </c>
      <c r="C22" s="29" t="n">
        <v>343</v>
      </c>
      <c r="D22" s="29" t="n">
        <v>4945</v>
      </c>
      <c r="E22" s="28" t="n">
        <v>0</v>
      </c>
      <c r="H22" s="28" t="inlineStr">
        <is>
          <t>MADRID -&gt; FUNZA</t>
        </is>
      </c>
      <c r="I22" s="29" t="n">
        <v>34</v>
      </c>
    </row>
    <row r="23">
      <c r="A23" s="30" t="inlineStr">
        <is>
          <t>2026-07-08</t>
        </is>
      </c>
      <c r="B23" s="30" t="inlineStr">
        <is>
          <t>Miércoles</t>
        </is>
      </c>
      <c r="C23" s="31" t="n">
        <v>329</v>
      </c>
      <c r="D23" s="31" t="n">
        <v>4743</v>
      </c>
      <c r="E23" s="30" t="n">
        <v>0</v>
      </c>
      <c r="H23" s="30" t="inlineStr">
        <is>
          <t>SOPO -&gt; MADRID</t>
        </is>
      </c>
      <c r="I23" s="31" t="n">
        <v>30</v>
      </c>
    </row>
    <row r="24">
      <c r="A24" s="28" t="inlineStr">
        <is>
          <t>2026-07-09</t>
        </is>
      </c>
      <c r="B24" s="28" t="inlineStr">
        <is>
          <t>Jueves</t>
        </is>
      </c>
      <c r="C24" s="29" t="n">
        <v>320</v>
      </c>
      <c r="D24" s="29" t="n">
        <v>4613</v>
      </c>
      <c r="E24" s="28" t="n">
        <v>0</v>
      </c>
      <c r="H24" s="28" t="inlineStr">
        <is>
          <t>LA ESTRELLA -&gt; CALDAS</t>
        </is>
      </c>
      <c r="I24" s="29" t="n">
        <v>28</v>
      </c>
    </row>
    <row r="25">
      <c r="A25" s="30" t="inlineStr">
        <is>
          <t>2026-07-10</t>
        </is>
      </c>
      <c r="B25" s="30" t="inlineStr">
        <is>
          <t>Viernes</t>
        </is>
      </c>
      <c r="C25" s="31" t="n">
        <v>301</v>
      </c>
      <c r="D25" s="31" t="n">
        <v>4339</v>
      </c>
      <c r="E25" s="30" t="n">
        <v>0</v>
      </c>
      <c r="H25" s="30" t="inlineStr">
        <is>
          <t>BOGOTA D.C. -&gt; FUNZA</t>
        </is>
      </c>
      <c r="I25" s="31" t="n">
        <v>26</v>
      </c>
    </row>
    <row r="26">
      <c r="A26" s="28" t="inlineStr">
        <is>
          <t>2026-07-11</t>
        </is>
      </c>
      <c r="B26" s="28" t="inlineStr">
        <is>
          <t>Sábado</t>
        </is>
      </c>
      <c r="C26" s="29" t="n">
        <v>271</v>
      </c>
      <c r="D26" s="29" t="n">
        <v>3907</v>
      </c>
      <c r="E26" s="28" t="n">
        <v>0</v>
      </c>
      <c r="H26" s="28" t="inlineStr">
        <is>
          <t>SABANAGRANDE -&gt; BARRANQUILLA</t>
        </is>
      </c>
      <c r="I26" s="29" t="n">
        <v>24</v>
      </c>
    </row>
    <row r="27">
      <c r="A27" s="30" t="inlineStr">
        <is>
          <t>2026-07-12</t>
        </is>
      </c>
      <c r="B27" s="30" t="inlineStr">
        <is>
          <t>Domingo</t>
        </is>
      </c>
      <c r="C27" s="31" t="n">
        <v>30</v>
      </c>
      <c r="D27" s="31" t="n">
        <v>433</v>
      </c>
      <c r="E27" s="30" t="n">
        <v>0</v>
      </c>
      <c r="H27" s="30" t="inlineStr">
        <is>
          <t>MADRID -&gt; MADRID</t>
        </is>
      </c>
      <c r="I27" s="31" t="n">
        <v>22</v>
      </c>
    </row>
    <row r="28">
      <c r="A28" s="28" t="inlineStr">
        <is>
          <t>2026-07-13</t>
        </is>
      </c>
      <c r="B28" s="28" t="inlineStr">
        <is>
          <t>Lunes</t>
        </is>
      </c>
      <c r="C28" s="29" t="n">
        <v>57</v>
      </c>
      <c r="D28" s="29" t="n">
        <v>822</v>
      </c>
      <c r="E28" s="28" t="n">
        <v>1</v>
      </c>
    </row>
    <row r="29">
      <c r="A29" s="30" t="inlineStr">
        <is>
          <t>2026-07-14</t>
        </is>
      </c>
      <c r="B29" s="30" t="inlineStr">
        <is>
          <t>Martes</t>
        </is>
      </c>
      <c r="C29" s="31" t="n">
        <v>304</v>
      </c>
      <c r="D29" s="31" t="n">
        <v>4383</v>
      </c>
      <c r="E29" s="30" t="n">
        <v>0</v>
      </c>
    </row>
    <row r="30">
      <c r="A30" s="28" t="inlineStr">
        <is>
          <t>2026-07-15</t>
        </is>
      </c>
      <c r="B30" s="28" t="inlineStr">
        <is>
          <t>Miércoles</t>
        </is>
      </c>
      <c r="C30" s="29" t="n">
        <v>332</v>
      </c>
      <c r="D30" s="29" t="n">
        <v>4786</v>
      </c>
      <c r="E30" s="28" t="n">
        <v>0</v>
      </c>
    </row>
    <row r="31">
      <c r="A31" s="30" t="inlineStr">
        <is>
          <t>2026-07-16</t>
        </is>
      </c>
      <c r="B31" s="30" t="inlineStr">
        <is>
          <t>Jueves</t>
        </is>
      </c>
      <c r="C31" s="31" t="n">
        <v>322</v>
      </c>
      <c r="D31" s="31" t="n">
        <v>4642</v>
      </c>
      <c r="E31" s="30" t="n">
        <v>0</v>
      </c>
    </row>
    <row r="32">
      <c r="A32" s="28" t="inlineStr">
        <is>
          <t>2026-07-17</t>
        </is>
      </c>
      <c r="B32" s="28" t="inlineStr">
        <is>
          <t>Viernes</t>
        </is>
      </c>
      <c r="C32" s="29" t="n">
        <v>303</v>
      </c>
      <c r="D32" s="29" t="n">
        <v>4368</v>
      </c>
      <c r="E32" s="28" t="n">
        <v>0</v>
      </c>
    </row>
    <row r="33">
      <c r="A33" s="30" t="inlineStr">
        <is>
          <t>2026-07-18</t>
        </is>
      </c>
      <c r="B33" s="30" t="inlineStr">
        <is>
          <t>Sábado</t>
        </is>
      </c>
      <c r="C33" s="31" t="n">
        <v>273</v>
      </c>
      <c r="D33" s="31" t="n">
        <v>3936</v>
      </c>
      <c r="E33" s="30" t="n">
        <v>0</v>
      </c>
    </row>
    <row r="34">
      <c r="A34" s="28" t="inlineStr">
        <is>
          <t>2026-07-19</t>
        </is>
      </c>
      <c r="B34" s="28" t="inlineStr">
        <is>
          <t>Domingo</t>
        </is>
      </c>
      <c r="C34" s="29" t="n">
        <v>33</v>
      </c>
      <c r="D34" s="29" t="n">
        <v>476</v>
      </c>
      <c r="E34" s="28" t="n">
        <v>0</v>
      </c>
    </row>
    <row r="35">
      <c r="A35" s="30" t="inlineStr">
        <is>
          <t>2026-07-20</t>
        </is>
      </c>
      <c r="B35" s="30" t="inlineStr">
        <is>
          <t>Lunes</t>
        </is>
      </c>
      <c r="C35" s="31" t="n">
        <v>64</v>
      </c>
      <c r="D35" s="31" t="n">
        <v>923</v>
      </c>
      <c r="E35" s="30" t="n">
        <v>1</v>
      </c>
    </row>
    <row r="36">
      <c r="A36" s="28" t="inlineStr">
        <is>
          <t>2026-07-21</t>
        </is>
      </c>
      <c r="B36" s="28" t="inlineStr">
        <is>
          <t>Martes</t>
        </is>
      </c>
      <c r="C36" s="29" t="n">
        <v>306</v>
      </c>
      <c r="D36" s="29" t="n">
        <v>4412</v>
      </c>
      <c r="E36" s="28" t="n">
        <v>0</v>
      </c>
    </row>
    <row r="37">
      <c r="A37" s="30" t="inlineStr">
        <is>
          <t>2026-07-22</t>
        </is>
      </c>
      <c r="B37" s="30" t="inlineStr">
        <is>
          <t>Miércoles</t>
        </is>
      </c>
      <c r="C37" s="31" t="n">
        <v>334</v>
      </c>
      <c r="D37" s="31" t="n">
        <v>4815</v>
      </c>
      <c r="E37" s="30" t="n">
        <v>0</v>
      </c>
    </row>
    <row r="38">
      <c r="A38" s="28" t="inlineStr">
        <is>
          <t>2026-07-23</t>
        </is>
      </c>
      <c r="B38" s="28" t="inlineStr">
        <is>
          <t>Jueves</t>
        </is>
      </c>
      <c r="C38" s="29" t="n">
        <v>325</v>
      </c>
      <c r="D38" s="29" t="n">
        <v>4685</v>
      </c>
      <c r="E38" s="28" t="n">
        <v>0</v>
      </c>
    </row>
    <row r="39">
      <c r="A39" s="30" t="inlineStr">
        <is>
          <t>2026-07-24</t>
        </is>
      </c>
      <c r="B39" s="30" t="inlineStr">
        <is>
          <t>Viernes</t>
        </is>
      </c>
      <c r="C39" s="31" t="n">
        <v>306</v>
      </c>
      <c r="D39" s="31" t="n">
        <v>4412</v>
      </c>
      <c r="E39" s="30" t="n">
        <v>0</v>
      </c>
    </row>
    <row r="40">
      <c r="A40" s="28" t="inlineStr">
        <is>
          <t>2026-07-25</t>
        </is>
      </c>
      <c r="B40" s="28" t="inlineStr">
        <is>
          <t>Sábado</t>
        </is>
      </c>
      <c r="C40" s="29" t="n">
        <v>275</v>
      </c>
      <c r="D40" s="29" t="n">
        <v>3965</v>
      </c>
      <c r="E40" s="28" t="n">
        <v>0</v>
      </c>
    </row>
    <row r="41">
      <c r="A41" s="30" t="inlineStr">
        <is>
          <t>2026-07-26</t>
        </is>
      </c>
      <c r="B41" s="30" t="inlineStr">
        <is>
          <t>Domingo</t>
        </is>
      </c>
      <c r="C41" s="31" t="n">
        <v>73</v>
      </c>
      <c r="D41" s="31" t="n">
        <v>1052</v>
      </c>
      <c r="E41" s="30" t="n">
        <v>0</v>
      </c>
    </row>
    <row r="42">
      <c r="A42" s="28" t="inlineStr">
        <is>
          <t>2026-07-27</t>
        </is>
      </c>
      <c r="B42" s="28" t="inlineStr">
        <is>
          <t>Lunes</t>
        </is>
      </c>
      <c r="C42" s="29" t="n">
        <v>299</v>
      </c>
      <c r="D42" s="29" t="n">
        <v>4311</v>
      </c>
      <c r="E42" s="28" t="n">
        <v>0</v>
      </c>
    </row>
    <row r="43">
      <c r="A43" s="30" t="inlineStr">
        <is>
          <t>2026-07-28</t>
        </is>
      </c>
      <c r="B43" s="30" t="inlineStr">
        <is>
          <t>Martes</t>
        </is>
      </c>
      <c r="C43" s="31" t="n">
        <v>347</v>
      </c>
      <c r="D43" s="31" t="n">
        <v>5003</v>
      </c>
      <c r="E43" s="30" t="n">
        <v>0</v>
      </c>
    </row>
    <row r="44">
      <c r="A44" s="28" t="inlineStr">
        <is>
          <t>2026-07-29</t>
        </is>
      </c>
      <c r="B44" s="28" t="inlineStr">
        <is>
          <t>Miércoles</t>
        </is>
      </c>
      <c r="C44" s="29" t="n">
        <v>377</v>
      </c>
      <c r="D44" s="29" t="n">
        <v>5435</v>
      </c>
      <c r="E44" s="28" t="n">
        <v>0</v>
      </c>
    </row>
    <row r="45">
      <c r="A45" s="30" t="inlineStr">
        <is>
          <t>2026-07-30</t>
        </is>
      </c>
      <c r="B45" s="30" t="inlineStr">
        <is>
          <t>Jueves</t>
        </is>
      </c>
      <c r="C45" s="31" t="n">
        <v>365</v>
      </c>
      <c r="D45" s="31" t="n">
        <v>5262</v>
      </c>
      <c r="E45" s="30" t="n">
        <v>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 ht="30" customHeight="1">
      <c r="A1" s="9" t="inlineStr">
        <is>
          <t>CLIENTES — Rankings</t>
        </is>
      </c>
    </row>
    <row r="2" ht="18" customHeight="1">
      <c r="A2" s="10" t="inlineStr">
        <is>
          <t>Demanda, toneladas y frecuencia por unidad de negocio</t>
        </is>
      </c>
    </row>
    <row r="4">
      <c r="A4" s="27" t="inlineStr">
        <is>
          <t>Negocio</t>
        </is>
      </c>
      <c r="B4" s="27" t="inlineStr">
        <is>
          <t>viajes</t>
        </is>
      </c>
      <c r="C4" s="27" t="inlineStr">
        <is>
          <t>toneladas</t>
        </is>
      </c>
      <c r="D4" s="27" t="inlineStr">
        <is>
          <t>ton_prom</t>
        </is>
      </c>
      <c r="E4" s="27" t="inlineStr">
        <is>
          <t>corredores</t>
        </is>
      </c>
      <c r="F4" s="27" t="inlineStr">
        <is>
          <t>part_viajes</t>
        </is>
      </c>
    </row>
    <row r="5">
      <c r="A5" s="30" t="inlineStr">
        <is>
          <t>REVESTIMIENTO</t>
        </is>
      </c>
      <c r="B5" s="31" t="n">
        <v>43897</v>
      </c>
      <c r="C5" s="31" t="n">
        <v>829514.4</v>
      </c>
      <c r="D5" s="31" t="n">
        <v>18.9</v>
      </c>
      <c r="E5" s="31" t="n">
        <v>562</v>
      </c>
      <c r="F5" s="34" t="n">
        <v>0.333</v>
      </c>
    </row>
    <row r="6">
      <c r="A6" s="28" t="inlineStr">
        <is>
          <t>PORCELANA SANITARIA</t>
        </is>
      </c>
      <c r="B6" s="29" t="n">
        <v>25500</v>
      </c>
      <c r="C6" s="29" t="n">
        <v>159566.9</v>
      </c>
      <c r="D6" s="29" t="n">
        <v>6.3</v>
      </c>
      <c r="E6" s="29" t="n">
        <v>237</v>
      </c>
      <c r="F6" s="35" t="n">
        <v>0.193</v>
      </c>
    </row>
    <row r="7">
      <c r="A7" s="30" t="inlineStr">
        <is>
          <t>SUMICOL</t>
        </is>
      </c>
      <c r="B7" s="31" t="n">
        <v>20026</v>
      </c>
      <c r="C7" s="31" t="n">
        <v>361934.3</v>
      </c>
      <c r="D7" s="31" t="n">
        <v>18.1</v>
      </c>
      <c r="E7" s="31" t="n">
        <v>282</v>
      </c>
      <c r="F7" s="34" t="n">
        <v>0.152</v>
      </c>
    </row>
    <row r="8">
      <c r="A8" s="28" t="inlineStr">
        <is>
          <t>CORLANC</t>
        </is>
      </c>
      <c r="B8" s="29" t="n">
        <v>12012</v>
      </c>
      <c r="C8" s="29" t="n">
        <v>147204.7</v>
      </c>
      <c r="D8" s="29" t="n">
        <v>12.3</v>
      </c>
      <c r="E8" s="29" t="n">
        <v>208</v>
      </c>
      <c r="F8" s="35" t="n">
        <v>0.091</v>
      </c>
    </row>
    <row r="9">
      <c r="A9" s="30" t="inlineStr">
        <is>
          <t>ALION</t>
        </is>
      </c>
      <c r="B9" s="31" t="n">
        <v>10320</v>
      </c>
      <c r="C9" s="31" t="n">
        <v>132192.1</v>
      </c>
      <c r="D9" s="31" t="n">
        <v>12.8</v>
      </c>
      <c r="E9" s="31" t="n">
        <v>224</v>
      </c>
      <c r="F9" s="34" t="n">
        <v>0.078</v>
      </c>
    </row>
    <row r="10">
      <c r="A10" s="28" t="inlineStr">
        <is>
          <t>LOCERIA</t>
        </is>
      </c>
      <c r="B10" s="29" t="n">
        <v>4170</v>
      </c>
      <c r="C10" s="29" t="n">
        <v>59070.7</v>
      </c>
      <c r="D10" s="29" t="n">
        <v>14.2</v>
      </c>
      <c r="E10" s="29" t="n">
        <v>91</v>
      </c>
      <c r="F10" s="35" t="n">
        <v>0.032</v>
      </c>
    </row>
    <row r="11">
      <c r="A11" s="30" t="inlineStr">
        <is>
          <t>TERNIUM</t>
        </is>
      </c>
      <c r="B11" s="31" t="n">
        <v>3417</v>
      </c>
      <c r="C11" s="31" t="n">
        <v>56603.3</v>
      </c>
      <c r="D11" s="31" t="n">
        <v>16.6</v>
      </c>
      <c r="E11" s="31" t="n">
        <v>201</v>
      </c>
      <c r="F11" s="34" t="n">
        <v>0.026</v>
      </c>
    </row>
    <row r="12">
      <c r="A12" s="28" t="inlineStr">
        <is>
          <t>GRIFERIA</t>
        </is>
      </c>
      <c r="B12" s="29" t="n">
        <v>3342</v>
      </c>
      <c r="C12" s="29" t="n">
        <v>8483.700000000001</v>
      </c>
      <c r="D12" s="29" t="n">
        <v>2.5</v>
      </c>
      <c r="E12" s="29" t="n">
        <v>24</v>
      </c>
      <c r="F12" s="35" t="n">
        <v>0.025</v>
      </c>
    </row>
    <row r="13">
      <c r="A13" s="30" t="inlineStr">
        <is>
          <t>CLIENTES TERCEROS</t>
        </is>
      </c>
      <c r="B13" s="31" t="n">
        <v>3084</v>
      </c>
      <c r="C13" s="31" t="n">
        <v>53149.5</v>
      </c>
      <c r="D13" s="31" t="n">
        <v>17.2</v>
      </c>
      <c r="E13" s="31" t="n">
        <v>329</v>
      </c>
      <c r="F13" s="34" t="n">
        <v>0.023</v>
      </c>
    </row>
    <row r="14">
      <c r="A14" s="28" t="inlineStr">
        <is>
          <t>ESTUDIO CERAMICO</t>
        </is>
      </c>
      <c r="B14" s="29" t="n">
        <v>2031</v>
      </c>
      <c r="C14" s="29" t="n">
        <v>34793.9</v>
      </c>
      <c r="D14" s="29" t="n">
        <v>17.1</v>
      </c>
      <c r="E14" s="29" t="n">
        <v>85</v>
      </c>
      <c r="F14" s="35" t="n">
        <v>0.015</v>
      </c>
    </row>
    <row r="15">
      <c r="A15" s="30" t="inlineStr">
        <is>
          <t>AGROMIL</t>
        </is>
      </c>
      <c r="B15" s="31" t="n">
        <v>2023</v>
      </c>
      <c r="C15" s="31" t="n">
        <v>59885.6</v>
      </c>
      <c r="D15" s="31" t="n">
        <v>29.6</v>
      </c>
      <c r="E15" s="31" t="n">
        <v>10</v>
      </c>
      <c r="F15" s="34" t="n">
        <v>0.015</v>
      </c>
    </row>
    <row r="16">
      <c r="A16" s="28" t="inlineStr">
        <is>
          <t>GAMMA</t>
        </is>
      </c>
      <c r="B16" s="29" t="n">
        <v>1116</v>
      </c>
      <c r="C16" s="29" t="n">
        <v>11256.1</v>
      </c>
      <c r="D16" s="29" t="n">
        <v>10.1</v>
      </c>
      <c r="E16" s="29" t="n">
        <v>82</v>
      </c>
      <c r="F16" s="35" t="n">
        <v>0.008</v>
      </c>
    </row>
    <row r="17">
      <c r="A17" s="30" t="inlineStr">
        <is>
          <t>ALMACENES CORONA</t>
        </is>
      </c>
      <c r="B17" s="31" t="n">
        <v>591</v>
      </c>
      <c r="C17" s="31" t="n">
        <v>14109.4</v>
      </c>
      <c r="D17" s="31" t="n">
        <v>23.9</v>
      </c>
      <c r="E17" s="31" t="n">
        <v>37</v>
      </c>
      <c r="F17" s="34" t="n">
        <v>0.004</v>
      </c>
    </row>
    <row r="18">
      <c r="A18" s="28" t="inlineStr">
        <is>
          <t>ERECOS</t>
        </is>
      </c>
      <c r="B18" s="29" t="n">
        <v>447</v>
      </c>
      <c r="C18" s="29" t="n">
        <v>8818.5</v>
      </c>
      <c r="D18" s="29" t="n">
        <v>19.7</v>
      </c>
      <c r="E18" s="29" t="n">
        <v>46</v>
      </c>
      <c r="F18" s="35" t="n">
        <v>0.003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 ht="30" customHeight="1">
      <c r="A1" s="9" t="inlineStr">
        <is>
          <t>CORREDORES — Demanda y Criticidad</t>
        </is>
      </c>
    </row>
    <row r="2" ht="18" customHeight="1">
      <c r="A2" s="10" t="inlineStr">
        <is>
          <t>Top corredores por volumen y corredores críticos (demanda × variabilidad)</t>
        </is>
      </c>
    </row>
    <row r="4">
      <c r="A4" s="25" t="inlineStr">
        <is>
          <t>TOP 15 CORREDORES</t>
        </is>
      </c>
    </row>
    <row r="5">
      <c r="A5" s="27" t="inlineStr">
        <is>
          <t>corredor</t>
        </is>
      </c>
      <c r="B5" s="27" t="inlineStr">
        <is>
          <t>viajes</t>
        </is>
      </c>
      <c r="C5" s="27" t="inlineStr">
        <is>
          <t>toneladas</t>
        </is>
      </c>
      <c r="D5" s="27" t="inlineStr">
        <is>
          <t>ton_prom</t>
        </is>
      </c>
      <c r="E5" s="27" t="inlineStr">
        <is>
          <t>cv_mensual_%</t>
        </is>
      </c>
      <c r="F5" s="27" t="inlineStr">
        <is>
          <t>crecimiento_%</t>
        </is>
      </c>
    </row>
    <row r="6">
      <c r="A6" s="28" t="inlineStr">
        <is>
          <t>MADRID -&gt; BOGOTA D.C.</t>
        </is>
      </c>
      <c r="B6" s="29" t="n">
        <v>6522</v>
      </c>
      <c r="C6" s="29" t="n">
        <v>38485.3</v>
      </c>
      <c r="D6" s="29" t="n">
        <v>5.90084329960135</v>
      </c>
      <c r="E6" s="28" t="n">
        <v>8.800000000000001</v>
      </c>
      <c r="F6" s="28" t="n">
        <v>3.3</v>
      </c>
    </row>
    <row r="7">
      <c r="A7" s="30" t="inlineStr">
        <is>
          <t>SOPO -&gt; BOGOTA D.C.</t>
        </is>
      </c>
      <c r="B7" s="31" t="n">
        <v>4820</v>
      </c>
      <c r="C7" s="31" t="n">
        <v>61496.794</v>
      </c>
      <c r="D7" s="31" t="n">
        <v>12.75867095435685</v>
      </c>
      <c r="E7" s="30" t="n">
        <v>11.1</v>
      </c>
      <c r="F7" s="30" t="n">
        <v>-8.6</v>
      </c>
    </row>
    <row r="8">
      <c r="A8" s="28" t="inlineStr">
        <is>
          <t>SABANETA -&gt; MEDELLIN</t>
        </is>
      </c>
      <c r="B8" s="29" t="n">
        <v>4656</v>
      </c>
      <c r="C8" s="29" t="n">
        <v>57522.903</v>
      </c>
      <c r="D8" s="29" t="n">
        <v>12.35457538659794</v>
      </c>
      <c r="E8" s="28" t="n">
        <v>17.2</v>
      </c>
      <c r="F8" s="28" t="n">
        <v>18.6</v>
      </c>
    </row>
    <row r="9">
      <c r="A9" s="30" t="inlineStr">
        <is>
          <t>SOACHA -&gt; BOGOTA D.C.</t>
        </is>
      </c>
      <c r="B9" s="31" t="n">
        <v>4289</v>
      </c>
      <c r="C9" s="31" t="n">
        <v>53038.062</v>
      </c>
      <c r="D9" s="31" t="n">
        <v>12.36606714851947</v>
      </c>
      <c r="E9" s="30" t="n">
        <v>15.4</v>
      </c>
      <c r="F9" s="30" t="n">
        <v>25.4</v>
      </c>
    </row>
    <row r="10">
      <c r="A10" s="28" t="inlineStr">
        <is>
          <t>CARTAGENA -&gt; CARTAGENA</t>
        </is>
      </c>
      <c r="B10" s="29" t="n">
        <v>3881</v>
      </c>
      <c r="C10" s="29" t="n">
        <v>60988.404</v>
      </c>
      <c r="D10" s="29" t="n">
        <v>15.71461066735378</v>
      </c>
      <c r="E10" s="28" t="n">
        <v>53.5</v>
      </c>
      <c r="F10" s="28" t="n">
        <v>-8.300000000000001</v>
      </c>
    </row>
    <row r="11">
      <c r="A11" s="30" t="inlineStr">
        <is>
          <t>YUMBO -&gt; CALI</t>
        </is>
      </c>
      <c r="B11" s="31" t="n">
        <v>3695</v>
      </c>
      <c r="C11" s="31" t="n">
        <v>46536.516</v>
      </c>
      <c r="D11" s="31" t="n">
        <v>12.59445629228688</v>
      </c>
      <c r="E11" s="30" t="n">
        <v>14.1</v>
      </c>
      <c r="F11" s="30" t="n">
        <v>34</v>
      </c>
    </row>
    <row r="12">
      <c r="A12" s="28" t="inlineStr">
        <is>
          <t>MADRID -&gt; FUNZA</t>
        </is>
      </c>
      <c r="B12" s="29" t="n">
        <v>2752</v>
      </c>
      <c r="C12" s="29" t="n">
        <v>24062.615</v>
      </c>
      <c r="D12" s="29" t="n">
        <v>8.743682776162791</v>
      </c>
      <c r="E12" s="28" t="n">
        <v>9.9</v>
      </c>
      <c r="F12" s="28" t="n">
        <v>-16.2</v>
      </c>
    </row>
    <row r="13">
      <c r="A13" s="30" t="inlineStr">
        <is>
          <t>MADRID -&gt; MADRID</t>
        </is>
      </c>
      <c r="B13" s="31" t="n">
        <v>2525</v>
      </c>
      <c r="C13" s="31" t="n">
        <v>73711.81200000001</v>
      </c>
      <c r="D13" s="31" t="n">
        <v>29.19279683168317</v>
      </c>
      <c r="E13" s="30" t="n">
        <v>18.3</v>
      </c>
      <c r="F13" s="30" t="n">
        <v>-9.5</v>
      </c>
    </row>
    <row r="14">
      <c r="A14" s="28" t="inlineStr">
        <is>
          <t>BOGOTA D.C. -&gt; FUNZA</t>
        </is>
      </c>
      <c r="B14" s="29" t="n">
        <v>2124</v>
      </c>
      <c r="C14" s="29" t="n">
        <v>2579.1</v>
      </c>
      <c r="D14" s="29" t="n">
        <v>1.214265536723164</v>
      </c>
      <c r="E14" s="28" t="n">
        <v>15.3</v>
      </c>
      <c r="F14" s="28" t="n">
        <v>-30.4</v>
      </c>
    </row>
    <row r="15">
      <c r="A15" s="30" t="inlineStr">
        <is>
          <t>SABANAGRANDE -&gt; BARRANQUILLA</t>
        </is>
      </c>
      <c r="B15" s="31" t="n">
        <v>1987</v>
      </c>
      <c r="C15" s="31" t="n">
        <v>23482.384</v>
      </c>
      <c r="D15" s="31" t="n">
        <v>11.81800905888274</v>
      </c>
      <c r="E15" s="30" t="n">
        <v>17.4</v>
      </c>
      <c r="F15" s="30" t="n">
        <v>-11.7</v>
      </c>
    </row>
    <row r="16">
      <c r="A16" s="28" t="inlineStr">
        <is>
          <t>SOPO -&gt; MADRID</t>
        </is>
      </c>
      <c r="B16" s="29" t="n">
        <v>1910</v>
      </c>
      <c r="C16" s="29" t="n">
        <v>50659.483</v>
      </c>
      <c r="D16" s="29" t="n">
        <v>26.52328952879581</v>
      </c>
      <c r="E16" s="28" t="n">
        <v>30.9</v>
      </c>
      <c r="F16" s="28" t="n">
        <v>68.90000000000001</v>
      </c>
    </row>
    <row r="17">
      <c r="A17" s="30" t="inlineStr">
        <is>
          <t>GIRARDOTA -&gt; MEDELLIN</t>
        </is>
      </c>
      <c r="B17" s="31" t="n">
        <v>1856</v>
      </c>
      <c r="C17" s="31" t="n">
        <v>9933.496999999999</v>
      </c>
      <c r="D17" s="31" t="n">
        <v>5.352099676724138</v>
      </c>
      <c r="E17" s="30" t="n">
        <v>17.3</v>
      </c>
      <c r="F17" s="30" t="n">
        <v>-47</v>
      </c>
    </row>
    <row r="18">
      <c r="A18" s="28" t="inlineStr">
        <is>
          <t>GIRARDOTA -&gt; CARTAGENA</t>
        </is>
      </c>
      <c r="B18" s="29" t="n">
        <v>1605</v>
      </c>
      <c r="C18" s="29" t="n">
        <v>22095.278</v>
      </c>
      <c r="D18" s="29" t="n">
        <v>13.76652834890966</v>
      </c>
      <c r="E18" s="28" t="n">
        <v>17.8</v>
      </c>
      <c r="F18" s="28" t="n">
        <v>-35.5</v>
      </c>
    </row>
    <row r="19">
      <c r="A19" s="30" t="inlineStr">
        <is>
          <t>SABANAGRANDE -&gt; CARTAGENA</t>
        </is>
      </c>
      <c r="B19" s="31" t="n">
        <v>1500</v>
      </c>
      <c r="C19" s="31" t="n">
        <v>18574.348</v>
      </c>
      <c r="D19" s="31" t="n">
        <v>12.38289866666667</v>
      </c>
      <c r="E19" s="30" t="n">
        <v>20.2</v>
      </c>
      <c r="F19" s="30" t="n">
        <v>-29.6</v>
      </c>
    </row>
    <row r="20">
      <c r="A20" s="28" t="inlineStr">
        <is>
          <t>SOPO -&gt; MEDELLIN</t>
        </is>
      </c>
      <c r="B20" s="29" t="n">
        <v>1429</v>
      </c>
      <c r="C20" s="29" t="n">
        <v>30716.348</v>
      </c>
      <c r="D20" s="29" t="n">
        <v>21.49499510146956</v>
      </c>
      <c r="E20" s="28" t="n">
        <v>15.7</v>
      </c>
      <c r="F20" s="28" t="n">
        <v>-10.9</v>
      </c>
    </row>
    <row r="22">
      <c r="A22" s="22" t="inlineStr">
        <is>
          <t>CORREDORES CRÍTICOS</t>
        </is>
      </c>
    </row>
    <row r="23">
      <c r="A23" s="14" t="inlineStr">
        <is>
          <t>corredor</t>
        </is>
      </c>
      <c r="B23" s="14" t="inlineStr">
        <is>
          <t>viajes</t>
        </is>
      </c>
      <c r="C23" s="14" t="inlineStr">
        <is>
          <t>cv_mensual_%</t>
        </is>
      </c>
      <c r="D23" s="14" t="inlineStr">
        <is>
          <t>crecimiento_%</t>
        </is>
      </c>
      <c r="E23" s="14" t="inlineStr">
        <is>
          <t>indice_criticidad</t>
        </is>
      </c>
    </row>
    <row r="24">
      <c r="A24" s="28" t="inlineStr">
        <is>
          <t>LA ESTRELLA -&gt; CALDAS</t>
        </is>
      </c>
      <c r="B24" s="29" t="n">
        <v>479</v>
      </c>
      <c r="C24" s="28" t="n">
        <v>127.9</v>
      </c>
      <c r="D24" s="28" t="n">
        <v>225.2</v>
      </c>
      <c r="E24" s="28" t="n">
        <v>4.7</v>
      </c>
    </row>
    <row r="25">
      <c r="A25" s="30" t="inlineStr">
        <is>
          <t>MADRID -&gt; BOGOTA D.C.</t>
        </is>
      </c>
      <c r="B25" s="31" t="n">
        <v>6522</v>
      </c>
      <c r="C25" s="30" t="n">
        <v>8.800000000000001</v>
      </c>
      <c r="D25" s="30" t="n">
        <v>3.3</v>
      </c>
      <c r="E25" s="30" t="n">
        <v>4.54</v>
      </c>
    </row>
    <row r="26">
      <c r="A26" s="28" t="inlineStr">
        <is>
          <t>CARTAGENA -&gt; CARTAGENA</t>
        </is>
      </c>
      <c r="B26" s="29" t="n">
        <v>3881</v>
      </c>
      <c r="C26" s="28" t="n">
        <v>53.5</v>
      </c>
      <c r="D26" s="28" t="n">
        <v>-8.300000000000001</v>
      </c>
      <c r="E26" s="28" t="n">
        <v>4.23</v>
      </c>
    </row>
    <row r="27">
      <c r="A27" s="30" t="inlineStr">
        <is>
          <t>IBAGUE -&gt; CARTAGENA</t>
        </is>
      </c>
      <c r="B27" s="31" t="n">
        <v>460</v>
      </c>
      <c r="C27" s="30" t="n">
        <v>109.5</v>
      </c>
      <c r="D27" s="30" t="n">
        <v>-70.40000000000001</v>
      </c>
      <c r="E27" s="30" t="n">
        <v>3.73</v>
      </c>
    </row>
    <row r="28">
      <c r="A28" s="28" t="inlineStr">
        <is>
          <t>SABANETA -&gt; MEDELLIN</t>
        </is>
      </c>
      <c r="B28" s="29" t="n">
        <v>4656</v>
      </c>
      <c r="C28" s="28" t="n">
        <v>17.2</v>
      </c>
      <c r="D28" s="28" t="n">
        <v>18.6</v>
      </c>
      <c r="E28" s="28" t="n">
        <v>3.13</v>
      </c>
    </row>
    <row r="29">
      <c r="A29" s="30" t="inlineStr">
        <is>
          <t>SOPO -&gt; BOGOTA D.C.</t>
        </is>
      </c>
      <c r="B29" s="31" t="n">
        <v>4820</v>
      </c>
      <c r="C29" s="30" t="n">
        <v>11.1</v>
      </c>
      <c r="D29" s="30" t="n">
        <v>-8.6</v>
      </c>
      <c r="E29" s="30" t="n">
        <v>2.97</v>
      </c>
    </row>
    <row r="30">
      <c r="A30" s="28" t="inlineStr">
        <is>
          <t>SOACHA -&gt; BOGOTA D.C.</t>
        </is>
      </c>
      <c r="B30" s="29" t="n">
        <v>4289</v>
      </c>
      <c r="C30" s="28" t="n">
        <v>15.4</v>
      </c>
      <c r="D30" s="28" t="n">
        <v>25.4</v>
      </c>
      <c r="E30" s="28" t="n">
        <v>2.67</v>
      </c>
    </row>
    <row r="31">
      <c r="A31" s="30" t="inlineStr">
        <is>
          <t>PALMAR DE VARELA -&gt; BOGOTA D.C.</t>
        </is>
      </c>
      <c r="B31" s="31" t="n">
        <v>313</v>
      </c>
      <c r="C31" s="30" t="n">
        <v>91</v>
      </c>
      <c r="D31" s="30" t="n">
        <v>279.5</v>
      </c>
      <c r="E31" s="30" t="n">
        <v>2.63</v>
      </c>
    </row>
    <row r="32">
      <c r="A32" s="28" t="inlineStr">
        <is>
          <t>BUENAVENTURA -&gt; BUENAVENTURA</t>
        </is>
      </c>
      <c r="B32" s="29" t="n">
        <v>986</v>
      </c>
      <c r="C32" s="28" t="n">
        <v>77</v>
      </c>
      <c r="D32" s="28" t="n">
        <v>-148.2</v>
      </c>
      <c r="E32" s="28" t="n">
        <v>2.58</v>
      </c>
    </row>
    <row r="33">
      <c r="A33" s="30" t="inlineStr">
        <is>
          <t>COTA -&gt; BOGOTA D.C.</t>
        </is>
      </c>
      <c r="B33" s="31" t="n">
        <v>460</v>
      </c>
      <c r="C33" s="30" t="n">
        <v>85.8</v>
      </c>
      <c r="D33" s="30" t="n">
        <v>216.2</v>
      </c>
      <c r="E33" s="30" t="n">
        <v>2.51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 ht="30" customHeight="1">
      <c r="A1" s="9" t="inlineStr">
        <is>
          <t>FLOTA Y PLACAS — Utilización</t>
        </is>
      </c>
    </row>
    <row r="2" ht="18" customHeight="1">
      <c r="A2" s="10" t="inlineStr">
        <is>
          <t>Participación por tipo de transportador y utilización de placas</t>
        </is>
      </c>
    </row>
    <row r="4">
      <c r="A4" s="25" t="inlineStr">
        <is>
          <t>PARTICIPACIÓN DE FLOTA</t>
        </is>
      </c>
    </row>
    <row r="5">
      <c r="A5" s="27" t="inlineStr">
        <is>
          <t>Tipo Transportador</t>
        </is>
      </c>
      <c r="B5" s="27" t="inlineStr">
        <is>
          <t>viajes</t>
        </is>
      </c>
      <c r="C5" s="27" t="inlineStr">
        <is>
          <t>toneladas</t>
        </is>
      </c>
      <c r="D5" s="27" t="inlineStr">
        <is>
          <t>placas</t>
        </is>
      </c>
      <c r="E5" s="27" t="inlineStr">
        <is>
          <t>part</t>
        </is>
      </c>
      <c r="F5" s="27" t="inlineStr">
        <is>
          <t>viajes_por_placa</t>
        </is>
      </c>
    </row>
    <row r="6">
      <c r="A6" s="28" t="inlineStr">
        <is>
          <t>Empresas</t>
        </is>
      </c>
      <c r="B6" s="29" t="n">
        <v>16124</v>
      </c>
      <c r="C6" s="29" t="n">
        <v>315472.7</v>
      </c>
      <c r="D6" s="29" t="n">
        <v>3753</v>
      </c>
      <c r="E6" s="35" t="n">
        <v>0.122</v>
      </c>
      <c r="F6" s="29" t="n">
        <v>4.3</v>
      </c>
    </row>
    <row r="7">
      <c r="A7" s="30" t="inlineStr">
        <is>
          <t>Flota Propia</t>
        </is>
      </c>
      <c r="B7" s="31" t="n">
        <v>11609</v>
      </c>
      <c r="C7" s="31" t="n">
        <v>296185.1</v>
      </c>
      <c r="D7" s="31" t="n">
        <v>75</v>
      </c>
      <c r="E7" s="34" t="n">
        <v>0.08800000000000001</v>
      </c>
      <c r="F7" s="31" t="n">
        <v>154.8</v>
      </c>
    </row>
    <row r="8">
      <c r="A8" s="28" t="inlineStr">
        <is>
          <t>Terceros</t>
        </is>
      </c>
      <c r="B8" s="29" t="n">
        <v>104243</v>
      </c>
      <c r="C8" s="29" t="n">
        <v>1324925.2</v>
      </c>
      <c r="D8" s="29" t="n">
        <v>1740</v>
      </c>
      <c r="E8" s="35" t="n">
        <v>0.79</v>
      </c>
      <c r="F8" s="29" t="n">
        <v>59.9</v>
      </c>
    </row>
    <row r="23">
      <c r="A23" s="25" t="inlineStr">
        <is>
          <t>TOP 15 PLACAS POR UTILIZACIÓN (viajes/mes)</t>
        </is>
      </c>
    </row>
    <row r="24">
      <c r="A24" s="27" t="inlineStr">
        <is>
          <t>PLACA</t>
        </is>
      </c>
      <c r="B24" s="27" t="inlineStr">
        <is>
          <t>viajes</t>
        </is>
      </c>
      <c r="C24" s="27" t="inlineStr">
        <is>
          <t>viajes_mes</t>
        </is>
      </c>
      <c r="D24" s="27" t="inlineStr">
        <is>
          <t>dias_activos</t>
        </is>
      </c>
      <c r="E24" s="27" t="inlineStr">
        <is>
          <t>flota</t>
        </is>
      </c>
      <c r="F24" s="27" t="inlineStr">
        <is>
          <t>tipologia</t>
        </is>
      </c>
      <c r="G24" s="27" t="inlineStr">
        <is>
          <t>estabilidad</t>
        </is>
      </c>
    </row>
    <row r="25">
      <c r="A25" s="30" t="inlineStr">
        <is>
          <t>TMZ413</t>
        </is>
      </c>
      <c r="B25" s="31" t="n">
        <v>1204</v>
      </c>
      <c r="C25" s="30" t="n">
        <v>67.25</v>
      </c>
      <c r="D25" s="31" t="n">
        <v>225</v>
      </c>
      <c r="E25" s="30" t="inlineStr">
        <is>
          <t>Empresas</t>
        </is>
      </c>
      <c r="F25" s="30" t="inlineStr">
        <is>
          <t>TRACTOMULA</t>
        </is>
      </c>
      <c r="G25" s="30" t="n">
        <v>0.9399999999999999</v>
      </c>
    </row>
    <row r="26">
      <c r="A26" s="28" t="inlineStr">
        <is>
          <t>SNU310</t>
        </is>
      </c>
      <c r="B26" s="29" t="n">
        <v>1029</v>
      </c>
      <c r="C26" s="28" t="n">
        <v>57.47</v>
      </c>
      <c r="D26" s="29" t="n">
        <v>369</v>
      </c>
      <c r="E26" s="28" t="inlineStr">
        <is>
          <t>Terceros</t>
        </is>
      </c>
      <c r="F26" s="28" t="inlineStr">
        <is>
          <t>TURBO</t>
        </is>
      </c>
      <c r="G26" s="28" t="n">
        <v>1</v>
      </c>
    </row>
    <row r="27">
      <c r="A27" s="30" t="inlineStr">
        <is>
          <t>SSQ211</t>
        </is>
      </c>
      <c r="B27" s="31" t="n">
        <v>1028</v>
      </c>
      <c r="C27" s="30" t="n">
        <v>57.42</v>
      </c>
      <c r="D27" s="31" t="n">
        <v>137</v>
      </c>
      <c r="E27" s="30" t="inlineStr">
        <is>
          <t>Flota Propia</t>
        </is>
      </c>
      <c r="F27" s="30" t="inlineStr">
        <is>
          <t>TRACTOMULA</t>
        </is>
      </c>
      <c r="G27" s="30" t="n">
        <v>1</v>
      </c>
    </row>
    <row r="28">
      <c r="A28" s="28" t="inlineStr">
        <is>
          <t>TJW794</t>
        </is>
      </c>
      <c r="B28" s="29" t="n">
        <v>1023</v>
      </c>
      <c r="C28" s="28" t="n">
        <v>57.14</v>
      </c>
      <c r="D28" s="29" t="n">
        <v>141</v>
      </c>
      <c r="E28" s="28" t="inlineStr">
        <is>
          <t>Flota Propia</t>
        </is>
      </c>
      <c r="F28" s="28" t="inlineStr">
        <is>
          <t>TRACTOMULA</t>
        </is>
      </c>
      <c r="G28" s="28" t="n">
        <v>1</v>
      </c>
    </row>
    <row r="29">
      <c r="A29" s="30" t="inlineStr">
        <is>
          <t>SNQ941</t>
        </is>
      </c>
      <c r="B29" s="31" t="n">
        <v>1001</v>
      </c>
      <c r="C29" s="30" t="n">
        <v>55.91</v>
      </c>
      <c r="D29" s="31" t="n">
        <v>335</v>
      </c>
      <c r="E29" s="30" t="inlineStr">
        <is>
          <t>Terceros</t>
        </is>
      </c>
      <c r="F29" s="30" t="inlineStr">
        <is>
          <t>TURBO</t>
        </is>
      </c>
      <c r="G29" s="30" t="n">
        <v>1</v>
      </c>
    </row>
    <row r="30">
      <c r="A30" s="28" t="inlineStr">
        <is>
          <t>ESQ907</t>
        </is>
      </c>
      <c r="B30" s="29" t="n">
        <v>918</v>
      </c>
      <c r="C30" s="28" t="n">
        <v>51.27</v>
      </c>
      <c r="D30" s="29" t="n">
        <v>209</v>
      </c>
      <c r="E30" s="28" t="inlineStr">
        <is>
          <t>Empresas</t>
        </is>
      </c>
      <c r="F30" s="28" t="inlineStr">
        <is>
          <t>SENCILLO</t>
        </is>
      </c>
      <c r="G30" s="28" t="n">
        <v>0.83</v>
      </c>
    </row>
    <row r="31">
      <c r="A31" s="30" t="inlineStr">
        <is>
          <t>TKK131</t>
        </is>
      </c>
      <c r="B31" s="31" t="n">
        <v>796</v>
      </c>
      <c r="C31" s="30" t="n">
        <v>44.46</v>
      </c>
      <c r="D31" s="31" t="n">
        <v>187</v>
      </c>
      <c r="E31" s="30" t="inlineStr">
        <is>
          <t>Terceros</t>
        </is>
      </c>
      <c r="F31" s="30" t="inlineStr">
        <is>
          <t>TRACTOMULA</t>
        </is>
      </c>
      <c r="G31" s="30" t="n">
        <v>1</v>
      </c>
    </row>
    <row r="32">
      <c r="A32" s="28" t="inlineStr">
        <is>
          <t>JYO969</t>
        </is>
      </c>
      <c r="B32" s="29" t="n">
        <v>752</v>
      </c>
      <c r="C32" s="28" t="n">
        <v>42</v>
      </c>
      <c r="D32" s="29" t="n">
        <v>420</v>
      </c>
      <c r="E32" s="28" t="inlineStr">
        <is>
          <t>Terceros</t>
        </is>
      </c>
      <c r="F32" s="28" t="inlineStr">
        <is>
          <t>SENCILLO</t>
        </is>
      </c>
      <c r="G32" s="28" t="n">
        <v>1</v>
      </c>
    </row>
    <row r="33">
      <c r="A33" s="30" t="inlineStr">
        <is>
          <t>JYO620</t>
        </is>
      </c>
      <c r="B33" s="31" t="n">
        <v>722</v>
      </c>
      <c r="C33" s="30" t="n">
        <v>40.33</v>
      </c>
      <c r="D33" s="31" t="n">
        <v>390</v>
      </c>
      <c r="E33" s="30" t="inlineStr">
        <is>
          <t>Terceros</t>
        </is>
      </c>
      <c r="F33" s="30" t="inlineStr">
        <is>
          <t>SENCILLO</t>
        </is>
      </c>
      <c r="G33" s="30" t="n">
        <v>1</v>
      </c>
    </row>
    <row r="34">
      <c r="A34" s="28" t="inlineStr">
        <is>
          <t>SXE607</t>
        </is>
      </c>
      <c r="B34" s="29" t="n">
        <v>653</v>
      </c>
      <c r="C34" s="28" t="n">
        <v>36.47</v>
      </c>
      <c r="D34" s="29" t="n">
        <v>212</v>
      </c>
      <c r="E34" s="28" t="inlineStr">
        <is>
          <t>Terceros</t>
        </is>
      </c>
      <c r="F34" s="28" t="inlineStr">
        <is>
          <t>TRACTOMULA</t>
        </is>
      </c>
      <c r="G34" s="28" t="n">
        <v>1</v>
      </c>
    </row>
    <row r="35">
      <c r="A35" s="30" t="inlineStr">
        <is>
          <t>LKK961</t>
        </is>
      </c>
      <c r="B35" s="31" t="n">
        <v>633</v>
      </c>
      <c r="C35" s="30" t="n">
        <v>35.36</v>
      </c>
      <c r="D35" s="31" t="n">
        <v>377</v>
      </c>
      <c r="E35" s="30" t="inlineStr">
        <is>
          <t>Terceros</t>
        </is>
      </c>
      <c r="F35" s="30" t="inlineStr">
        <is>
          <t>DOBLETROQUE</t>
        </is>
      </c>
      <c r="G35" s="30" t="n">
        <v>1</v>
      </c>
    </row>
    <row r="36">
      <c r="A36" s="28" t="inlineStr">
        <is>
          <t>TMV563</t>
        </is>
      </c>
      <c r="B36" s="29" t="n">
        <v>574</v>
      </c>
      <c r="C36" s="28" t="n">
        <v>32.06</v>
      </c>
      <c r="D36" s="29" t="n">
        <v>303</v>
      </c>
      <c r="E36" s="28" t="inlineStr">
        <is>
          <t>Terceros</t>
        </is>
      </c>
      <c r="F36" s="28" t="inlineStr">
        <is>
          <t>TURBO</t>
        </is>
      </c>
      <c r="G36" s="28" t="n">
        <v>1</v>
      </c>
    </row>
    <row r="37">
      <c r="A37" s="30" t="inlineStr">
        <is>
          <t>TTM675</t>
        </is>
      </c>
      <c r="B37" s="31" t="n">
        <v>557</v>
      </c>
      <c r="C37" s="30" t="n">
        <v>31.11</v>
      </c>
      <c r="D37" s="31" t="n">
        <v>229</v>
      </c>
      <c r="E37" s="30" t="inlineStr">
        <is>
          <t>Terceros</t>
        </is>
      </c>
      <c r="F37" s="30" t="inlineStr">
        <is>
          <t>TURBO</t>
        </is>
      </c>
      <c r="G37" s="30" t="n">
        <v>0.67</v>
      </c>
    </row>
    <row r="38">
      <c r="A38" s="28" t="inlineStr">
        <is>
          <t>USD253</t>
        </is>
      </c>
      <c r="B38" s="29" t="n">
        <v>546</v>
      </c>
      <c r="C38" s="28" t="n">
        <v>30.5</v>
      </c>
      <c r="D38" s="29" t="n">
        <v>348</v>
      </c>
      <c r="E38" s="28" t="inlineStr">
        <is>
          <t>Terceros</t>
        </is>
      </c>
      <c r="F38" s="28" t="inlineStr">
        <is>
          <t>TURBO</t>
        </is>
      </c>
      <c r="G38" s="28" t="n">
        <v>1</v>
      </c>
    </row>
    <row r="39">
      <c r="A39" s="30" t="inlineStr">
        <is>
          <t>KUK690</t>
        </is>
      </c>
      <c r="B39" s="31" t="n">
        <v>539</v>
      </c>
      <c r="C39" s="30" t="n">
        <v>30.1</v>
      </c>
      <c r="D39" s="31" t="n">
        <v>373</v>
      </c>
      <c r="E39" s="30" t="inlineStr">
        <is>
          <t>Terceros</t>
        </is>
      </c>
      <c r="F39" s="30" t="inlineStr">
        <is>
          <t>TURBO</t>
        </is>
      </c>
      <c r="G39" s="30" t="n">
        <v>1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20" customWidth="1" min="9" max="9"/>
  </cols>
  <sheetData>
    <row r="1" ht="30" customHeight="1">
      <c r="A1" s="9" t="inlineStr">
        <is>
          <t>RETORNOS VACÍOS</t>
        </is>
      </c>
    </row>
    <row r="2" ht="18" customHeight="1">
      <c r="A2" s="10" t="inlineStr">
        <is>
          <t>Desbalance direccional, rutas de riesgo y costo estimado (SICETAC aprox.)</t>
        </is>
      </c>
    </row>
    <row r="4">
      <c r="A4" s="4" t="inlineStr">
        <is>
          <t>Retornos vacíos (pairwise, cota superior)</t>
        </is>
      </c>
      <c r="C4" s="36" t="inlineStr">
        <is>
          <t>100,421 · 76.1%</t>
        </is>
      </c>
    </row>
    <row r="5">
      <c r="A5" s="4" t="inlineStr">
        <is>
          <t>Reposición de red (zonal, piso)</t>
        </is>
      </c>
      <c r="C5" s="36" t="inlineStr">
        <is>
          <t>27,973 · 21.2%</t>
        </is>
      </c>
    </row>
    <row r="6">
      <c r="A6" s="4" t="inlineStr">
        <is>
          <t>Costo 18m — realista (costo variable)</t>
        </is>
      </c>
      <c r="C6" s="36" t="inlineStr">
        <is>
          <t>$64,096,263,186 COP</t>
        </is>
      </c>
    </row>
    <row r="7">
      <c r="A7" s="4" t="inlineStr">
        <is>
          <t>Costo anualizado (realista)</t>
        </is>
      </c>
      <c r="C7" s="36" t="inlineStr">
        <is>
          <t>$42,730,842,124 COP/año</t>
        </is>
      </c>
    </row>
    <row r="9">
      <c r="A9" s="25" t="inlineStr">
        <is>
          <t>TOP RUTAS CON RIESGO DE RETORNO VACÍO</t>
        </is>
      </c>
      <c r="I9" s="25" t="inlineStr">
        <is>
          <t>BALANCE POR ZONA</t>
        </is>
      </c>
    </row>
    <row r="10">
      <c r="A10" s="27" t="inlineStr">
        <is>
          <t>Ciudad Origen</t>
        </is>
      </c>
      <c r="B10" s="27" t="inlineStr">
        <is>
          <t>Ciudad Destino</t>
        </is>
      </c>
      <c r="C10" s="27" t="inlineStr">
        <is>
          <t>viajes</t>
        </is>
      </c>
      <c r="D10" s="27" t="inlineStr">
        <is>
          <t>viajes_rev</t>
        </is>
      </c>
      <c r="E10" s="27" t="inlineStr">
        <is>
          <t>excedente</t>
        </is>
      </c>
      <c r="F10" s="27" t="inlineStr">
        <is>
          <t>dist_km</t>
        </is>
      </c>
      <c r="G10" s="27" t="inlineStr">
        <is>
          <t>costo_retorno_vacio_est</t>
        </is>
      </c>
      <c r="I10" s="27" t="inlineStr">
        <is>
          <t>Zona</t>
        </is>
      </c>
      <c r="J10" s="27" t="inlineStr">
        <is>
          <t>salidas</t>
        </is>
      </c>
      <c r="K10" s="27" t="inlineStr">
        <is>
          <t>entradas</t>
        </is>
      </c>
      <c r="L10" s="27" t="inlineStr">
        <is>
          <t>neto</t>
        </is>
      </c>
    </row>
    <row r="11">
      <c r="A11" s="30" t="inlineStr">
        <is>
          <t>MADRID</t>
        </is>
      </c>
      <c r="B11" s="30" t="inlineStr">
        <is>
          <t>BOGOTA D.C.</t>
        </is>
      </c>
      <c r="C11" s="31" t="n">
        <v>6522</v>
      </c>
      <c r="D11" s="31" t="n">
        <v>33</v>
      </c>
      <c r="E11" s="31" t="n">
        <v>6489</v>
      </c>
      <c r="F11" s="30" t="n">
        <v>27.8</v>
      </c>
      <c r="G11" s="31" t="n">
        <v>1038240000</v>
      </c>
      <c r="I11" s="30" t="inlineStr">
        <is>
          <t>Zona Cundinamarca</t>
        </is>
      </c>
      <c r="J11" s="31" t="n">
        <v>65664</v>
      </c>
      <c r="K11" s="31" t="n">
        <v>46429</v>
      </c>
      <c r="L11" s="31" t="n">
        <v>-19235</v>
      </c>
    </row>
    <row r="12">
      <c r="A12" s="28" t="inlineStr">
        <is>
          <t>SOPO</t>
        </is>
      </c>
      <c r="B12" s="28" t="inlineStr">
        <is>
          <t>BOGOTA D.C.</t>
        </is>
      </c>
      <c r="C12" s="29" t="n">
        <v>4820</v>
      </c>
      <c r="D12" s="29" t="n">
        <v>12</v>
      </c>
      <c r="E12" s="29" t="n">
        <v>4808</v>
      </c>
      <c r="F12" s="28" t="n">
        <v>34.1</v>
      </c>
      <c r="G12" s="29" t="n">
        <v>961600000</v>
      </c>
      <c r="I12" s="28" t="inlineStr">
        <is>
          <t>Zona Noroccidental</t>
        </is>
      </c>
      <c r="J12" s="29" t="n">
        <v>38768</v>
      </c>
      <c r="K12" s="29" t="n">
        <v>30030</v>
      </c>
      <c r="L12" s="29" t="n">
        <v>-8738</v>
      </c>
    </row>
    <row r="13">
      <c r="A13" s="30" t="inlineStr">
        <is>
          <t>SABANETA</t>
        </is>
      </c>
      <c r="B13" s="30" t="inlineStr">
        <is>
          <t>MEDELLIN</t>
        </is>
      </c>
      <c r="C13" s="31" t="n">
        <v>4656</v>
      </c>
      <c r="D13" s="31" t="n">
        <v>4</v>
      </c>
      <c r="E13" s="31" t="n">
        <v>4652</v>
      </c>
      <c r="F13" s="30" t="n">
        <v>14.8</v>
      </c>
      <c r="G13" s="31" t="n">
        <v>744320000</v>
      </c>
      <c r="I13" s="30" t="inlineStr">
        <is>
          <t>Zona Sur</t>
        </is>
      </c>
      <c r="J13" s="31" t="n">
        <v>1</v>
      </c>
      <c r="K13" s="31" t="n">
        <v>1788</v>
      </c>
      <c r="L13" s="31" t="n">
        <v>1787</v>
      </c>
    </row>
    <row r="14">
      <c r="A14" s="28" t="inlineStr">
        <is>
          <t>SOACHA</t>
        </is>
      </c>
      <c r="B14" s="28" t="inlineStr">
        <is>
          <t>BOGOTA D.C.</t>
        </is>
      </c>
      <c r="C14" s="29" t="n">
        <v>4289</v>
      </c>
      <c r="D14" s="29" t="n">
        <v>43</v>
      </c>
      <c r="E14" s="29" t="n">
        <v>4246</v>
      </c>
      <c r="F14" s="28" t="n">
        <v>28.3</v>
      </c>
      <c r="G14" s="29" t="n">
        <v>849200000</v>
      </c>
      <c r="I14" s="28" t="inlineStr">
        <is>
          <t>Zona Eje Cafetero</t>
        </is>
      </c>
      <c r="J14" s="29" t="n">
        <v>384</v>
      </c>
      <c r="K14" s="29" t="n">
        <v>4422</v>
      </c>
      <c r="L14" s="29" t="n">
        <v>4038</v>
      </c>
    </row>
    <row r="15">
      <c r="A15" s="30" t="inlineStr">
        <is>
          <t>YUMBO</t>
        </is>
      </c>
      <c r="B15" s="30" t="inlineStr">
        <is>
          <t>CALI</t>
        </is>
      </c>
      <c r="C15" s="31" t="n">
        <v>3695</v>
      </c>
      <c r="D15" s="31" t="n">
        <v>16</v>
      </c>
      <c r="E15" s="31" t="n">
        <v>3679</v>
      </c>
      <c r="F15" s="30" t="n">
        <v>19.8</v>
      </c>
      <c r="G15" s="31" t="n">
        <v>735800000</v>
      </c>
      <c r="I15" s="30" t="inlineStr">
        <is>
          <t>Zona Nororiental</t>
        </is>
      </c>
      <c r="J15" s="31" t="n">
        <v>455</v>
      </c>
      <c r="K15" s="31" t="n">
        <v>5045</v>
      </c>
      <c r="L15" s="31" t="n">
        <v>4590</v>
      </c>
    </row>
    <row r="16">
      <c r="A16" s="28" t="inlineStr">
        <is>
          <t>SABANAGRANDE</t>
        </is>
      </c>
      <c r="B16" s="28" t="inlineStr">
        <is>
          <t>BARRANQUILLA</t>
        </is>
      </c>
      <c r="C16" s="29" t="n">
        <v>1987</v>
      </c>
      <c r="D16" s="29" t="n">
        <v>1</v>
      </c>
      <c r="E16" s="29" t="n">
        <v>1986</v>
      </c>
      <c r="F16" s="28" t="n">
        <v>31.2</v>
      </c>
      <c r="G16" s="29" t="n">
        <v>397200000</v>
      </c>
      <c r="I16" s="28" t="inlineStr">
        <is>
          <t>Zona Sur Occidental</t>
        </is>
      </c>
      <c r="J16" s="29" t="n">
        <v>10611</v>
      </c>
      <c r="K16" s="29" t="n">
        <v>15627</v>
      </c>
      <c r="L16" s="29" t="n">
        <v>5016</v>
      </c>
    </row>
    <row r="17">
      <c r="A17" s="30" t="inlineStr">
        <is>
          <t>GIRARDOTA</t>
        </is>
      </c>
      <c r="B17" s="30" t="inlineStr">
        <is>
          <t>MEDELLIN</t>
        </is>
      </c>
      <c r="C17" s="31" t="n">
        <v>1856</v>
      </c>
      <c r="D17" s="31" t="n">
        <v>4</v>
      </c>
      <c r="E17" s="31" t="n">
        <v>1852</v>
      </c>
      <c r="F17" s="30" t="n">
        <v>26.7</v>
      </c>
      <c r="G17" s="31" t="n">
        <v>296320000</v>
      </c>
      <c r="I17" s="30" t="inlineStr">
        <is>
          <t>Zona Centro</t>
        </is>
      </c>
      <c r="J17" s="31" t="n">
        <v>1914</v>
      </c>
      <c r="K17" s="31" t="n">
        <v>7179</v>
      </c>
      <c r="L17" s="31" t="n">
        <v>5265</v>
      </c>
    </row>
    <row r="18">
      <c r="A18" s="28" t="inlineStr">
        <is>
          <t>SABANAGRANDE</t>
        </is>
      </c>
      <c r="B18" s="28" t="inlineStr">
        <is>
          <t>CARTAGENA</t>
        </is>
      </c>
      <c r="C18" s="29" t="n">
        <v>1500</v>
      </c>
      <c r="D18" s="29" t="n">
        <v>13</v>
      </c>
      <c r="E18" s="29" t="n">
        <v>1487</v>
      </c>
      <c r="F18" s="28" t="n">
        <v>98.09999999999999</v>
      </c>
      <c r="G18" s="29" t="n">
        <v>466799040</v>
      </c>
      <c r="I18" s="28" t="inlineStr">
        <is>
          <t>Zona Costa Atlántica</t>
        </is>
      </c>
      <c r="J18" s="29" t="n">
        <v>14179</v>
      </c>
      <c r="K18" s="29" t="n">
        <v>21456</v>
      </c>
      <c r="L18" s="29" t="n">
        <v>7277</v>
      </c>
    </row>
    <row r="19">
      <c r="A19" s="30" t="inlineStr">
        <is>
          <t>SOPO</t>
        </is>
      </c>
      <c r="B19" s="30" t="inlineStr">
        <is>
          <t>MADRID</t>
        </is>
      </c>
      <c r="C19" s="31" t="n">
        <v>1910</v>
      </c>
      <c r="D19" s="31" t="n">
        <v>461</v>
      </c>
      <c r="E19" s="31" t="n">
        <v>1449</v>
      </c>
      <c r="F19" s="30" t="n">
        <v>53.1</v>
      </c>
      <c r="G19" s="31" t="n">
        <v>507150000</v>
      </c>
    </row>
    <row r="20">
      <c r="A20" s="28" t="inlineStr">
        <is>
          <t>SOPO</t>
        </is>
      </c>
      <c r="B20" s="28" t="inlineStr">
        <is>
          <t>MEDELLIN</t>
        </is>
      </c>
      <c r="C20" s="29" t="n">
        <v>1429</v>
      </c>
      <c r="D20" s="29" t="n">
        <v>0</v>
      </c>
      <c r="E20" s="29" t="n">
        <v>1429</v>
      </c>
      <c r="F20" s="28" t="n">
        <v>304.2</v>
      </c>
      <c r="G20" s="29" t="n">
        <v>2390859900</v>
      </c>
    </row>
    <row r="21">
      <c r="A21" s="30" t="inlineStr">
        <is>
          <t>MADRID</t>
        </is>
      </c>
      <c r="B21" s="30" t="inlineStr">
        <is>
          <t>FUNZA</t>
        </is>
      </c>
      <c r="C21" s="31" t="n">
        <v>2752</v>
      </c>
      <c r="D21" s="31" t="n">
        <v>1367</v>
      </c>
      <c r="E21" s="31" t="n">
        <v>1385</v>
      </c>
      <c r="F21" s="30" t="n">
        <v>8</v>
      </c>
      <c r="G21" s="31" t="n">
        <v>277000000</v>
      </c>
    </row>
    <row r="22">
      <c r="A22" s="28" t="inlineStr">
        <is>
          <t>GIRARDOTA</t>
        </is>
      </c>
      <c r="B22" s="28" t="inlineStr">
        <is>
          <t>CARTAGENA</t>
        </is>
      </c>
      <c r="C22" s="29" t="n">
        <v>1605</v>
      </c>
      <c r="D22" s="29" t="n">
        <v>224</v>
      </c>
      <c r="E22" s="29" t="n">
        <v>1381</v>
      </c>
      <c r="F22" s="28" t="n">
        <v>580</v>
      </c>
      <c r="G22" s="29" t="n">
        <v>4405390000</v>
      </c>
    </row>
    <row r="23">
      <c r="A23" s="30" t="inlineStr">
        <is>
          <t>SOPO</t>
        </is>
      </c>
      <c r="B23" s="30" t="inlineStr">
        <is>
          <t>CALI</t>
        </is>
      </c>
      <c r="C23" s="31" t="n">
        <v>1202</v>
      </c>
      <c r="D23" s="31" t="n">
        <v>0</v>
      </c>
      <c r="E23" s="31" t="n">
        <v>1202</v>
      </c>
      <c r="F23" s="30" t="n">
        <v>428.8</v>
      </c>
      <c r="G23" s="31" t="n">
        <v>2834796800</v>
      </c>
    </row>
    <row r="24">
      <c r="A24" s="28" t="inlineStr">
        <is>
          <t>GIRARDOTA</t>
        </is>
      </c>
      <c r="B24" s="28" t="inlineStr">
        <is>
          <t>CALI</t>
        </is>
      </c>
      <c r="C24" s="29" t="n">
        <v>1163</v>
      </c>
      <c r="D24" s="29" t="n">
        <v>0</v>
      </c>
      <c r="E24" s="29" t="n">
        <v>1163</v>
      </c>
      <c r="F24" s="28" t="n">
        <v>451.1</v>
      </c>
      <c r="G24" s="29" t="n">
        <v>1364036180</v>
      </c>
    </row>
    <row r="25">
      <c r="A25" s="30" t="inlineStr">
        <is>
          <t>BOGOTA D.C.</t>
        </is>
      </c>
      <c r="B25" s="30" t="inlineStr">
        <is>
          <t>FUNZA</t>
        </is>
      </c>
      <c r="C25" s="31" t="n">
        <v>2124</v>
      </c>
      <c r="D25" s="31" t="n">
        <v>992</v>
      </c>
      <c r="E25" s="31" t="n">
        <v>1132</v>
      </c>
      <c r="F25" s="30" t="n">
        <v>20</v>
      </c>
      <c r="G25" s="31" t="n">
        <v>181120000</v>
      </c>
    </row>
  </sheetData>
  <mergeCells count="6">
    <mergeCell ref="A1:J1"/>
    <mergeCell ref="C4:F4"/>
    <mergeCell ref="C6:F6"/>
    <mergeCell ref="C7:F7"/>
    <mergeCell ref="A2:J2"/>
    <mergeCell ref="C5:F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 ht="30" customHeight="1">
      <c r="A1" s="9" t="inlineStr">
        <is>
          <t>MODELO PREDICTIVO</t>
        </is>
      </c>
    </row>
    <row r="2" ht="18" customHeight="1">
      <c r="A2" s="10" t="inlineStr">
        <is>
          <t>Comparación de 9 modelos · selección · coeficientes del modelo OLS</t>
        </is>
      </c>
    </row>
    <row r="4">
      <c r="A4" s="25" t="inlineStr">
        <is>
          <t>COMPARACIÓN — BACKTEST SEMANAL (horizonte 1 semana, meta ≤10% WAPE)</t>
        </is>
      </c>
      <c r="F4" s="37" t="inlineStr">
        <is>
          <t>Seleccionado: Regresión Múltiple (OLS)</t>
        </is>
      </c>
    </row>
    <row r="5">
      <c r="A5" s="27" t="inlineStr">
        <is>
          <t>Modelo</t>
        </is>
      </c>
      <c r="B5" s="27" t="inlineStr">
        <is>
          <t>MAE</t>
        </is>
      </c>
      <c r="C5" s="27" t="inlineStr">
        <is>
          <t>RMSE</t>
        </is>
      </c>
      <c r="D5" s="27" t="inlineStr">
        <is>
          <t>MAPE</t>
        </is>
      </c>
      <c r="E5" s="27" t="inlineStr">
        <is>
          <t>WAPE</t>
        </is>
      </c>
      <c r="F5" s="27" t="inlineStr">
        <is>
          <t>R2</t>
        </is>
      </c>
      <c r="G5" s="27" t="inlineStr">
        <is>
          <t>n</t>
        </is>
      </c>
    </row>
    <row r="6">
      <c r="A6" s="38" t="inlineStr">
        <is>
          <t>Regresión Múltiple (OLS)</t>
        </is>
      </c>
      <c r="B6" s="38" t="n">
        <v>120.36</v>
      </c>
      <c r="C6" s="38" t="n">
        <v>154.76</v>
      </c>
      <c r="D6" s="38" t="n">
        <v>10.07</v>
      </c>
      <c r="E6" s="38" t="n">
        <v>7.4</v>
      </c>
      <c r="F6" s="38" t="n">
        <v>0.83</v>
      </c>
      <c r="G6" s="39" t="n">
        <v>16</v>
      </c>
    </row>
    <row r="7">
      <c r="A7" s="30" t="inlineStr">
        <is>
          <t>Gradient Boosting</t>
        </is>
      </c>
      <c r="B7" s="30" t="n">
        <v>170.07</v>
      </c>
      <c r="C7" s="30" t="n">
        <v>294.95</v>
      </c>
      <c r="D7" s="30" t="n">
        <v>25.78</v>
      </c>
      <c r="E7" s="30" t="n">
        <v>10.46</v>
      </c>
      <c r="F7" s="30" t="n">
        <v>0.4</v>
      </c>
      <c r="G7" s="31" t="n">
        <v>16</v>
      </c>
    </row>
    <row r="8">
      <c r="A8" s="28" t="inlineStr">
        <is>
          <t>XGBoost</t>
        </is>
      </c>
      <c r="B8" s="28" t="n">
        <v>173.4</v>
      </c>
      <c r="C8" s="28" t="n">
        <v>292.44</v>
      </c>
      <c r="D8" s="28" t="n">
        <v>25.62</v>
      </c>
      <c r="E8" s="28" t="n">
        <v>10.66</v>
      </c>
      <c r="F8" s="28" t="n">
        <v>0.41</v>
      </c>
      <c r="G8" s="29" t="n">
        <v>16</v>
      </c>
    </row>
    <row r="9">
      <c r="A9" s="30" t="inlineStr">
        <is>
          <t>Random Forest</t>
        </is>
      </c>
      <c r="B9" s="30" t="n">
        <v>197.47</v>
      </c>
      <c r="C9" s="30" t="n">
        <v>326.07</v>
      </c>
      <c r="D9" s="30" t="n">
        <v>28.65</v>
      </c>
      <c r="E9" s="30" t="n">
        <v>12.14</v>
      </c>
      <c r="F9" s="30" t="n">
        <v>0.26</v>
      </c>
      <c r="G9" s="31" t="n">
        <v>16</v>
      </c>
    </row>
    <row r="10">
      <c r="A10" s="28" t="inlineStr">
        <is>
          <t>Prophet</t>
        </is>
      </c>
      <c r="B10" s="28" t="n">
        <v>246.15</v>
      </c>
      <c r="C10" s="28" t="n">
        <v>403.93</v>
      </c>
      <c r="D10" s="28" t="n">
        <v>33.91</v>
      </c>
      <c r="E10" s="28" t="n">
        <v>15.13</v>
      </c>
      <c r="F10" s="28" t="n">
        <v>-0.13</v>
      </c>
      <c r="G10" s="29" t="n">
        <v>16</v>
      </c>
    </row>
    <row r="11">
      <c r="A11" s="30" t="inlineStr">
        <is>
          <t>Árbol de Decisión</t>
        </is>
      </c>
      <c r="B11" s="30" t="n">
        <v>252.1</v>
      </c>
      <c r="C11" s="30" t="n">
        <v>364.42</v>
      </c>
      <c r="D11" s="30" t="n">
        <v>32.51</v>
      </c>
      <c r="E11" s="30" t="n">
        <v>15.5</v>
      </c>
      <c r="F11" s="30" t="n">
        <v>0.08</v>
      </c>
      <c r="G11" s="31" t="n">
        <v>16</v>
      </c>
    </row>
    <row r="12">
      <c r="A12" s="28" t="inlineStr">
        <is>
          <t>ARIMA (2,1,2)</t>
        </is>
      </c>
      <c r="B12" s="28" t="n">
        <v>256.03</v>
      </c>
      <c r="C12" s="28" t="n">
        <v>399.07</v>
      </c>
      <c r="D12" s="28" t="n">
        <v>35.52</v>
      </c>
      <c r="E12" s="28" t="n">
        <v>15.74</v>
      </c>
      <c r="F12" s="28" t="n">
        <v>-0.11</v>
      </c>
      <c r="G12" s="29" t="n">
        <v>16</v>
      </c>
    </row>
    <row r="13">
      <c r="A13" s="30" t="inlineStr">
        <is>
          <t>Regresión Lineal (tendencia)</t>
        </is>
      </c>
      <c r="B13" s="30" t="n">
        <v>259.45</v>
      </c>
      <c r="C13" s="30" t="n">
        <v>422.13</v>
      </c>
      <c r="D13" s="30" t="n">
        <v>37.51</v>
      </c>
      <c r="E13" s="30" t="n">
        <v>15.95</v>
      </c>
      <c r="F13" s="30" t="n">
        <v>-0.24</v>
      </c>
      <c r="G13" s="31" t="n">
        <v>16</v>
      </c>
    </row>
    <row r="14">
      <c r="A14" s="28" t="inlineStr">
        <is>
          <t>SARIMA (1,0,1)(1,1,1)52</t>
        </is>
      </c>
      <c r="B14" s="28" t="n">
        <v>779.08</v>
      </c>
      <c r="C14" s="28" t="n">
        <v>2017.41</v>
      </c>
      <c r="D14" s="28" t="n">
        <v>59.1</v>
      </c>
      <c r="E14" s="28" t="n">
        <v>47.9</v>
      </c>
      <c r="F14" s="28" t="n">
        <v>-27.29</v>
      </c>
      <c r="G14" s="29" t="n">
        <v>16</v>
      </c>
    </row>
    <row r="16">
      <c r="A16" s="25" t="inlineStr">
        <is>
          <t>COMPARACIÓN — BACKTEST DIARIO (horizonte 7 días)</t>
        </is>
      </c>
    </row>
    <row r="17">
      <c r="A17" s="27" t="inlineStr">
        <is>
          <t>Modelo</t>
        </is>
      </c>
      <c r="B17" s="27" t="inlineStr">
        <is>
          <t>MAE</t>
        </is>
      </c>
      <c r="C17" s="27" t="inlineStr">
        <is>
          <t>RMSE</t>
        </is>
      </c>
      <c r="D17" s="27" t="inlineStr">
        <is>
          <t>MAPE</t>
        </is>
      </c>
      <c r="E17" s="27" t="inlineStr">
        <is>
          <t>WAPE</t>
        </is>
      </c>
      <c r="F17" s="27" t="inlineStr">
        <is>
          <t>R2</t>
        </is>
      </c>
      <c r="G17" s="27" t="inlineStr">
        <is>
          <t>n</t>
        </is>
      </c>
    </row>
    <row r="18">
      <c r="A18" s="28" t="inlineStr">
        <is>
          <t>Regresión Múltiple (OLS)</t>
        </is>
      </c>
      <c r="B18" s="28" t="n">
        <v>29.64</v>
      </c>
      <c r="C18" s="28" t="n">
        <v>36.9</v>
      </c>
      <c r="D18" s="28" t="n">
        <v>23.12</v>
      </c>
      <c r="E18" s="28" t="n">
        <v>12.2</v>
      </c>
      <c r="F18" s="28" t="n">
        <v>0.89</v>
      </c>
      <c r="G18" s="29" t="n">
        <v>98</v>
      </c>
    </row>
    <row r="19">
      <c r="A19" s="30" t="inlineStr">
        <is>
          <t>Random Forest</t>
        </is>
      </c>
      <c r="B19" s="30" t="n">
        <v>30.15</v>
      </c>
      <c r="C19" s="30" t="n">
        <v>40.06</v>
      </c>
      <c r="D19" s="30" t="n">
        <v>42.78</v>
      </c>
      <c r="E19" s="30" t="n">
        <v>12.41</v>
      </c>
      <c r="F19" s="30" t="n">
        <v>0.87</v>
      </c>
      <c r="G19" s="31" t="n">
        <v>98</v>
      </c>
    </row>
    <row r="20">
      <c r="A20" s="28" t="inlineStr">
        <is>
          <t>XGBoost</t>
        </is>
      </c>
      <c r="B20" s="28" t="n">
        <v>30.93</v>
      </c>
      <c r="C20" s="28" t="n">
        <v>39.83</v>
      </c>
      <c r="D20" s="28" t="n">
        <v>77.7</v>
      </c>
      <c r="E20" s="28" t="n">
        <v>12.74</v>
      </c>
      <c r="F20" s="28" t="n">
        <v>0.88</v>
      </c>
      <c r="G20" s="29" t="n">
        <v>98</v>
      </c>
    </row>
    <row r="21">
      <c r="A21" s="30" t="inlineStr">
        <is>
          <t>Gradient Boosting</t>
        </is>
      </c>
      <c r="B21" s="30" t="n">
        <v>32.99</v>
      </c>
      <c r="C21" s="30" t="n">
        <v>41.78</v>
      </c>
      <c r="D21" s="30" t="n">
        <v>79.54000000000001</v>
      </c>
      <c r="E21" s="30" t="n">
        <v>13.58</v>
      </c>
      <c r="F21" s="30" t="n">
        <v>0.86</v>
      </c>
      <c r="G21" s="31" t="n">
        <v>98</v>
      </c>
    </row>
    <row r="22">
      <c r="A22" s="28" t="inlineStr">
        <is>
          <t>Árbol de Decisión</t>
        </is>
      </c>
      <c r="B22" s="28" t="n">
        <v>33.43</v>
      </c>
      <c r="C22" s="28" t="n">
        <v>46.57</v>
      </c>
      <c r="D22" s="28" t="n">
        <v>47.64</v>
      </c>
      <c r="E22" s="28" t="n">
        <v>13.76</v>
      </c>
      <c r="F22" s="28" t="n">
        <v>0.83</v>
      </c>
      <c r="G22" s="29" t="n">
        <v>98</v>
      </c>
    </row>
    <row r="23">
      <c r="A23" s="30" t="inlineStr">
        <is>
          <t>Prophet</t>
        </is>
      </c>
      <c r="B23" s="30" t="n">
        <v>33.55</v>
      </c>
      <c r="C23" s="30" t="n">
        <v>42.98</v>
      </c>
      <c r="D23" s="30" t="n">
        <v>94.81</v>
      </c>
      <c r="E23" s="30" t="n">
        <v>13.81</v>
      </c>
      <c r="F23" s="30" t="n">
        <v>0.86</v>
      </c>
      <c r="G23" s="31" t="n">
        <v>98</v>
      </c>
    </row>
    <row r="24">
      <c r="A24" s="28" t="inlineStr">
        <is>
          <t>SARIMA (1,0,1)(1,1,1)7</t>
        </is>
      </c>
      <c r="B24" s="28" t="n">
        <v>53.3</v>
      </c>
      <c r="C24" s="28" t="n">
        <v>80.40000000000001</v>
      </c>
      <c r="D24" s="28" t="n">
        <v>356.45</v>
      </c>
      <c r="E24" s="28" t="n">
        <v>21.95</v>
      </c>
      <c r="F24" s="28" t="n">
        <v>0.49</v>
      </c>
      <c r="G24" s="29" t="n">
        <v>98</v>
      </c>
    </row>
    <row r="25">
      <c r="A25" s="30" t="inlineStr">
        <is>
          <t>Regresión Lineal (tendencia)</t>
        </is>
      </c>
      <c r="B25" s="30" t="n">
        <v>74.59999999999999</v>
      </c>
      <c r="C25" s="30" t="n">
        <v>95.56</v>
      </c>
      <c r="D25" s="30" t="n">
        <v>432.8</v>
      </c>
      <c r="E25" s="30" t="n">
        <v>30.72</v>
      </c>
      <c r="F25" s="30" t="n">
        <v>0.29</v>
      </c>
      <c r="G25" s="31" t="n">
        <v>98</v>
      </c>
    </row>
    <row r="26">
      <c r="A26" s="28" t="inlineStr">
        <is>
          <t>ARIMA (2,1,2)</t>
        </is>
      </c>
      <c r="B26" s="28" t="n">
        <v>90.27</v>
      </c>
      <c r="C26" s="28" t="n">
        <v>112.65</v>
      </c>
      <c r="D26" s="28" t="n">
        <v>413.21</v>
      </c>
      <c r="E26" s="28" t="n">
        <v>37.17</v>
      </c>
      <c r="F26" s="28" t="n">
        <v>0.01</v>
      </c>
      <c r="G26" s="29" t="n">
        <v>98</v>
      </c>
    </row>
    <row r="28">
      <c r="A28" s="25" t="inlineStr">
        <is>
          <t>COEFICIENTES DEL MODELO OLS DIARIO (para motor Excel/VBA)</t>
        </is>
      </c>
    </row>
    <row r="29">
      <c r="A29" s="27" t="inlineStr">
        <is>
          <t>variable</t>
        </is>
      </c>
      <c r="B29" s="27" t="inlineStr">
        <is>
          <t>coeficiente</t>
        </is>
      </c>
    </row>
    <row r="30">
      <c r="A30" s="28" t="inlineStr">
        <is>
          <t>dow_0</t>
        </is>
      </c>
      <c r="B30" s="28" t="n">
        <v>27.8271</v>
      </c>
    </row>
    <row r="31">
      <c r="A31" s="30" t="inlineStr">
        <is>
          <t>dow_1</t>
        </is>
      </c>
      <c r="B31" s="30" t="n">
        <v>63.5794</v>
      </c>
    </row>
    <row r="32">
      <c r="A32" s="28" t="inlineStr">
        <is>
          <t>dow_2</t>
        </is>
      </c>
      <c r="B32" s="28" t="n">
        <v>50.4074</v>
      </c>
    </row>
    <row r="33">
      <c r="A33" s="30" t="inlineStr">
        <is>
          <t>dow_3</t>
        </is>
      </c>
      <c r="B33" s="30" t="n">
        <v>39.0233</v>
      </c>
    </row>
    <row r="34">
      <c r="A34" s="28" t="inlineStr">
        <is>
          <t>dow_4</t>
        </is>
      </c>
      <c r="B34" s="28" t="n">
        <v>23.319</v>
      </c>
    </row>
    <row r="35">
      <c r="A35" s="30" t="inlineStr">
        <is>
          <t>dow_5</t>
        </is>
      </c>
      <c r="B35" s="30" t="n">
        <v>-7.8516</v>
      </c>
    </row>
    <row r="36">
      <c r="A36" s="28" t="inlineStr">
        <is>
          <t>dow_6</t>
        </is>
      </c>
      <c r="B36" s="28" t="n">
        <v>-196.3045</v>
      </c>
    </row>
    <row r="37">
      <c r="A37" s="30" t="inlineStr">
        <is>
          <t>mes</t>
        </is>
      </c>
      <c r="B37" s="30" t="n">
        <v>-4.1255</v>
      </c>
    </row>
    <row r="38">
      <c r="A38" s="28" t="inlineStr">
        <is>
          <t>trimestre</t>
        </is>
      </c>
      <c r="B38" s="28" t="n">
        <v>7.7932</v>
      </c>
    </row>
    <row r="39">
      <c r="A39" s="30" t="inlineStr">
        <is>
          <t>festivo</t>
        </is>
      </c>
      <c r="B39" s="30" t="n">
        <v>-241.5924</v>
      </c>
    </row>
    <row r="40">
      <c r="A40" s="28" t="inlineStr">
        <is>
          <t>post_festivo</t>
        </is>
      </c>
      <c r="B40" s="28" t="n">
        <v>-41.6885</v>
      </c>
    </row>
    <row r="41">
      <c r="A41" s="30" t="inlineStr">
        <is>
          <t>pre_festivo</t>
        </is>
      </c>
      <c r="B41" s="30" t="n">
        <v>-38.5618</v>
      </c>
    </row>
    <row r="42">
      <c r="A42" s="28" t="inlineStr">
        <is>
          <t>fin_de_mes</t>
        </is>
      </c>
      <c r="B42" s="28" t="n">
        <v>42.8266</v>
      </c>
    </row>
    <row r="43">
      <c r="A43" s="30" t="inlineStr">
        <is>
          <t>inicio_de_mes</t>
        </is>
      </c>
      <c r="B43" s="30" t="n">
        <v>-28.8356</v>
      </c>
    </row>
    <row r="44">
      <c r="A44" s="28" t="inlineStr">
        <is>
          <t>t</t>
        </is>
      </c>
      <c r="B44" s="28" t="n">
        <v>0.0382</v>
      </c>
    </row>
    <row r="45">
      <c r="A45" s="30" t="inlineStr">
        <is>
          <t>lag7</t>
        </is>
      </c>
      <c r="B45" s="30" t="n">
        <v>0.0061</v>
      </c>
    </row>
    <row r="46">
      <c r="A46" s="28" t="inlineStr">
        <is>
          <t>lag14</t>
        </is>
      </c>
      <c r="B46" s="28" t="n">
        <v>0.008800000000000001</v>
      </c>
    </row>
    <row r="47">
      <c r="A47" s="30" t="inlineStr">
        <is>
          <t>lag21</t>
        </is>
      </c>
      <c r="B47" s="30" t="n">
        <v>0.0121</v>
      </c>
    </row>
    <row r="48">
      <c r="A48" s="28" t="inlineStr">
        <is>
          <t>lag28</t>
        </is>
      </c>
      <c r="B48" s="28" t="n">
        <v>0.0304</v>
      </c>
    </row>
    <row r="49">
      <c r="A49" s="30" t="inlineStr">
        <is>
          <t>roll7_mean</t>
        </is>
      </c>
      <c r="B49" s="30" t="n">
        <v>0.0134</v>
      </c>
    </row>
    <row r="50">
      <c r="A50" s="28" t="inlineStr">
        <is>
          <t>roll14_mean</t>
        </is>
      </c>
      <c r="B50" s="28" t="n">
        <v>0.1051</v>
      </c>
    </row>
    <row r="51">
      <c r="A51" s="30" t="inlineStr">
        <is>
          <t>roll30_mean</t>
        </is>
      </c>
      <c r="B51" s="30" t="n">
        <v>-0.0265</v>
      </c>
    </row>
    <row r="52">
      <c r="A52" s="28" t="inlineStr">
        <is>
          <t>sin365</t>
        </is>
      </c>
      <c r="B52" s="28" t="n">
        <v>-14.5957</v>
      </c>
    </row>
    <row r="53">
      <c r="A53" s="30" t="inlineStr">
        <is>
          <t>cos365</t>
        </is>
      </c>
      <c r="B53" s="30" t="n">
        <v>-3.8123</v>
      </c>
    </row>
    <row r="54">
      <c r="A54" s="28" t="inlineStr">
        <is>
          <t>(intercepto)</t>
        </is>
      </c>
      <c r="B54" s="28" t="n">
        <v>219.6368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9" t="inlineStr">
        <is>
          <t>CORRELACIONES</t>
        </is>
      </c>
    </row>
    <row r="2" ht="18" customHeight="1">
      <c r="A2" s="10" t="inlineStr">
        <is>
          <t>Variables con mayor capacidad para explicar la demanda (Pearson/Spearman/Kendall)</t>
        </is>
      </c>
    </row>
    <row r="4">
      <c r="A4" s="27" t="inlineStr">
        <is>
          <t>variable</t>
        </is>
      </c>
      <c r="B4" s="27" t="inlineStr">
        <is>
          <t>pearson</t>
        </is>
      </c>
      <c r="C4" s="27" t="inlineStr">
        <is>
          <t>spearman</t>
        </is>
      </c>
      <c r="D4" s="27" t="inlineStr">
        <is>
          <t>kendall</t>
        </is>
      </c>
      <c r="F4" s="32" t="inlineStr">
        <is>
          <t>Nota</t>
        </is>
      </c>
    </row>
    <row r="5">
      <c r="A5" s="30" t="inlineStr">
        <is>
          <t>placas_activas</t>
        </is>
      </c>
      <c r="B5" s="30" t="n">
        <v>0.986</v>
      </c>
      <c r="C5" s="30" t="n">
        <v>0.964</v>
      </c>
      <c r="D5" s="30" t="n">
        <v>0.855</v>
      </c>
      <c r="F5" s="26" t="inlineStr">
        <is>
          <t>Las variables con mayor correlación instantánea (placas, terceros, toneladas) son ENDÓGENAS y no sirven para pronosticar. Las variables PREDICTORAS utilizables son las de calendario (hábil, fin de semana, festivo) y los rezagos semanales (lag7/lag14).</t>
        </is>
      </c>
    </row>
    <row r="6">
      <c r="A6" s="28" t="inlineStr">
        <is>
          <t>viajes_terceros</t>
        </is>
      </c>
      <c r="B6" s="28" t="n">
        <v>0.987</v>
      </c>
      <c r="C6" s="28" t="n">
        <v>0.957</v>
      </c>
      <c r="D6" s="28" t="n">
        <v>0.837</v>
      </c>
    </row>
    <row r="7">
      <c r="A7" s="30" t="inlineStr">
        <is>
          <t>toneladas</t>
        </is>
      </c>
      <c r="B7" s="30" t="n">
        <v>0.982</v>
      </c>
      <c r="C7" s="30" t="n">
        <v>0.951</v>
      </c>
      <c r="D7" s="30" t="n">
        <v>0.829</v>
      </c>
    </row>
    <row r="8">
      <c r="A8" s="28" t="inlineStr">
        <is>
          <t>corredores_activos</t>
        </is>
      </c>
      <c r="B8" s="28" t="n">
        <v>0.973</v>
      </c>
      <c r="C8" s="28" t="n">
        <v>0.903</v>
      </c>
      <c r="D8" s="28" t="n">
        <v>0.752</v>
      </c>
    </row>
    <row r="9">
      <c r="A9" s="30" t="inlineStr">
        <is>
          <t>viajes_propia</t>
        </is>
      </c>
      <c r="B9" s="30" t="n">
        <v>0.6919999999999999</v>
      </c>
      <c r="C9" s="30" t="n">
        <v>0.666</v>
      </c>
      <c r="D9" s="30" t="n">
        <v>0.495</v>
      </c>
    </row>
    <row r="10">
      <c r="A10" s="28" t="inlineStr">
        <is>
          <t>habil</t>
        </is>
      </c>
      <c r="B10" s="28" t="n">
        <v>0.702</v>
      </c>
      <c r="C10" s="28" t="n">
        <v>0.665</v>
      </c>
      <c r="D10" s="28" t="n">
        <v>0.544</v>
      </c>
    </row>
    <row r="11">
      <c r="A11" s="30" t="inlineStr">
        <is>
          <t>clientes_activos</t>
        </is>
      </c>
      <c r="B11" s="30" t="n">
        <v>0.629</v>
      </c>
      <c r="C11" s="30" t="n">
        <v>0.602</v>
      </c>
      <c r="D11" s="30" t="n">
        <v>0.448</v>
      </c>
    </row>
    <row r="12">
      <c r="A12" s="28" t="inlineStr">
        <is>
          <t>fin_de_semana</t>
        </is>
      </c>
      <c r="B12" s="28" t="n">
        <v>-0.536</v>
      </c>
      <c r="C12" s="28" t="n">
        <v>-0.54</v>
      </c>
      <c r="D12" s="28" t="n">
        <v>-0.442</v>
      </c>
    </row>
    <row r="13">
      <c r="A13" s="30" t="inlineStr">
        <is>
          <t>sin7</t>
        </is>
      </c>
      <c r="B13" s="30" t="n">
        <v>0.484</v>
      </c>
      <c r="C13" s="30" t="n">
        <v>0.522</v>
      </c>
      <c r="D13" s="30" t="n">
        <v>0.364</v>
      </c>
    </row>
    <row r="14">
      <c r="A14" s="28" t="inlineStr">
        <is>
          <t>lag14</t>
        </is>
      </c>
      <c r="B14" s="28" t="n">
        <v>0.589</v>
      </c>
      <c r="C14" s="28" t="n">
        <v>0.498</v>
      </c>
      <c r="D14" s="28" t="n">
        <v>0.354</v>
      </c>
    </row>
    <row r="15">
      <c r="A15" s="40" t="inlineStr">
        <is>
          <t>El mapa de calor de correlaciones está en outputs/graficos y en el informe de correlaciones.</t>
        </is>
      </c>
      <c r="B15" s="30" t="n">
        <v>-0.469</v>
      </c>
      <c r="C15" s="30" t="n">
        <v>-0.48</v>
      </c>
      <c r="D15" s="30" t="n">
        <v>-0.371</v>
      </c>
    </row>
    <row r="16">
      <c r="A16" s="28" t="inlineStr">
        <is>
          <t>lag7</t>
        </is>
      </c>
      <c r="B16" s="28" t="n">
        <v>0.556</v>
      </c>
      <c r="C16" s="28" t="n">
        <v>0.466</v>
      </c>
      <c r="D16" s="28" t="n">
        <v>0.34</v>
      </c>
    </row>
    <row r="17">
      <c r="A17" s="30" t="inlineStr">
        <is>
          <t>festivo</t>
        </is>
      </c>
      <c r="B17" s="30" t="n">
        <v>-0.426</v>
      </c>
      <c r="C17" s="30" t="n">
        <v>-0.333</v>
      </c>
      <c r="D17" s="30" t="n">
        <v>-0.272</v>
      </c>
    </row>
    <row r="18">
      <c r="A18" s="28" t="inlineStr">
        <is>
          <t>roll30_mean</t>
        </is>
      </c>
      <c r="B18" s="28" t="n">
        <v>0.112</v>
      </c>
      <c r="C18" s="28" t="n">
        <v>0.209</v>
      </c>
      <c r="D18" s="28" t="n">
        <v>0.14</v>
      </c>
    </row>
    <row r="19">
      <c r="A19" s="30" t="inlineStr">
        <is>
          <t>fin_de_mes</t>
        </is>
      </c>
      <c r="B19" s="30" t="n">
        <v>0.11</v>
      </c>
      <c r="C19" s="30" t="n">
        <v>0.162</v>
      </c>
      <c r="D19" s="30" t="n">
        <v>0.133</v>
      </c>
    </row>
    <row r="20">
      <c r="A20" s="28" t="inlineStr">
        <is>
          <t>trimestre</t>
        </is>
      </c>
      <c r="B20" s="28" t="n">
        <v>0.036</v>
      </c>
      <c r="C20" s="28" t="n">
        <v>0.109</v>
      </c>
      <c r="D20" s="28" t="n">
        <v>0.08400000000000001</v>
      </c>
    </row>
    <row r="21">
      <c r="A21" s="30" t="inlineStr">
        <is>
          <t>t</t>
        </is>
      </c>
      <c r="B21" s="30" t="n">
        <v>0.031</v>
      </c>
      <c r="C21" s="30" t="n">
        <v>0.105</v>
      </c>
      <c r="D21" s="30" t="n">
        <v>0.073</v>
      </c>
    </row>
    <row r="22">
      <c r="A22" s="28" t="inlineStr">
        <is>
          <t>mes</t>
        </is>
      </c>
      <c r="B22" s="28" t="n">
        <v>0.029</v>
      </c>
      <c r="C22" s="28" t="n">
        <v>0.101</v>
      </c>
      <c r="D22" s="28" t="n">
        <v>0.073</v>
      </c>
    </row>
    <row r="23">
      <c r="A23" s="30" t="inlineStr">
        <is>
          <t>roll7_mean</t>
        </is>
      </c>
      <c r="B23" s="30" t="n">
        <v>0.03</v>
      </c>
      <c r="C23" s="30" t="n">
        <v>0.07199999999999999</v>
      </c>
      <c r="D23" s="30" t="n">
        <v>0.047</v>
      </c>
    </row>
    <row r="24">
      <c r="A24" s="28" t="inlineStr">
        <is>
          <t>cos7</t>
        </is>
      </c>
      <c r="B24" s="28" t="n">
        <v>-0.281</v>
      </c>
      <c r="C24" s="28" t="n">
        <v>-0.037</v>
      </c>
      <c r="D24" s="28" t="n">
        <v>-0.035</v>
      </c>
    </row>
    <row r="25">
      <c r="A25" s="30" t="inlineStr">
        <is>
          <t>ton_prom</t>
        </is>
      </c>
      <c r="B25" s="30" t="n">
        <v>-0.11</v>
      </c>
      <c r="C25" s="30" t="n">
        <v>0.024</v>
      </c>
      <c r="D25" s="30" t="n">
        <v>0.02</v>
      </c>
    </row>
  </sheetData>
  <mergeCells count="3">
    <mergeCell ref="A2:F2"/>
    <mergeCell ref="F5:H1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 ht="30" customHeight="1">
      <c r="A1" s="9" t="inlineStr">
        <is>
          <t>PARÁMETROS EDITABLES</t>
        </is>
      </c>
    </row>
    <row r="2" ht="18" customHeight="1">
      <c r="A2" s="10" t="inlineStr">
        <is>
          <t>Modifique estas celdas (amarillas) para recalibrar alertas y costos</t>
        </is>
      </c>
    </row>
    <row r="4">
      <c r="A4" s="32" t="inlineStr">
        <is>
          <t>Umbral de alerta capacidad (holgura)</t>
        </is>
      </c>
      <c r="B4" s="41" t="n">
        <v>0.1</v>
      </c>
    </row>
    <row r="5">
      <c r="A5" s="32" t="inlineStr">
        <is>
          <t>Colchón de reserva (nivel de servicio 90%)</t>
        </is>
      </c>
      <c r="B5" s="42" t="n">
        <v>0.095</v>
      </c>
    </row>
    <row r="6">
      <c r="A6" s="32" t="inlineStr">
        <is>
          <t>Factor costo variable retorno vacío</t>
        </is>
      </c>
      <c r="B6" s="43" t="n">
        <v>0.65</v>
      </c>
    </row>
    <row r="8">
      <c r="A8" s="25" t="inlineStr">
        <is>
          <t>TARIFA SICETAC (aprox.) — COP/km por tipología</t>
        </is>
      </c>
    </row>
    <row r="9">
      <c r="A9" s="44" t="inlineStr">
        <is>
          <t>Tipología</t>
        </is>
      </c>
      <c r="B9" s="44" t="inlineStr">
        <is>
          <t>COP/km</t>
        </is>
      </c>
      <c r="C9" s="44" t="inlineStr">
        <is>
          <t>Mínimo COP</t>
        </is>
      </c>
    </row>
    <row r="10">
      <c r="A10" s="45" t="inlineStr">
        <is>
          <t>TRACTOMULA</t>
        </is>
      </c>
      <c r="B10" s="46" t="n">
        <v>5500</v>
      </c>
      <c r="C10" s="46" t="n">
        <v>350000</v>
      </c>
    </row>
    <row r="11">
      <c r="A11" s="45" t="inlineStr">
        <is>
          <t>CUATROMANOS</t>
        </is>
      </c>
      <c r="B11" s="46" t="n">
        <v>4500</v>
      </c>
      <c r="C11" s="46" t="n">
        <v>320000</v>
      </c>
    </row>
    <row r="12">
      <c r="A12" s="45" t="inlineStr">
        <is>
          <t>DOBLETROQUE</t>
        </is>
      </c>
      <c r="B12" s="46" t="n">
        <v>4200</v>
      </c>
      <c r="C12" s="46" t="n">
        <v>280000</v>
      </c>
    </row>
    <row r="13">
      <c r="A13" s="45" t="inlineStr">
        <is>
          <t>SENCILLO</t>
        </is>
      </c>
      <c r="B13" s="46" t="n">
        <v>3200</v>
      </c>
      <c r="C13" s="46" t="n">
        <v>200000</v>
      </c>
    </row>
    <row r="14">
      <c r="A14" s="45" t="inlineStr">
        <is>
          <t>TURBO</t>
        </is>
      </c>
      <c r="B14" s="46" t="n">
        <v>2600</v>
      </c>
      <c r="C14" s="46" t="n">
        <v>160000</v>
      </c>
    </row>
    <row r="15">
      <c r="A15" s="45" t="inlineStr">
        <is>
          <t>CAMIONETA</t>
        </is>
      </c>
      <c r="B15" s="46" t="n">
        <v>1800</v>
      </c>
      <c r="C15" s="46" t="n">
        <v>120000</v>
      </c>
    </row>
    <row r="18">
      <c r="A18" s="32" t="inlineStr">
        <is>
          <t>Contraseña de protección VBA</t>
        </is>
      </c>
      <c r="B18" s="47" t="inlineStr">
        <is>
          <t>UCLOG</t>
        </is>
      </c>
    </row>
    <row r="20">
      <c r="A20" s="8" t="inlineStr">
        <is>
          <t>Nota: las tarifas son estimaciones editables; reemplácelas por la consulta oficial del SICETAC (sicetac.gov.co).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2026-07-24T00:39:18Z</dcterms:created>
  <dcterms:modified xsi:type="dcterms:W3CDTF">2026-07-24T00:39:18Z</dcterms:modified>
</cp:coreProperties>
</file>